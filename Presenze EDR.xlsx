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57006\Desktop\"/>
    </mc:Choice>
  </mc:AlternateContent>
  <xr:revisionPtr revIDLastSave="0" documentId="13_ncr:1_{6CA4352C-2B71-40A0-B644-217B41FE8E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-presenze" sheetId="2" r:id="rId1"/>
  </sheets>
  <externalReferences>
    <externalReference r:id="rId2"/>
  </externalReferences>
  <definedNames>
    <definedName name="Anno">[1]Festività!$F$6</definedName>
    <definedName name="BoolD">IF(VarD&gt;48,1,0)</definedName>
    <definedName name="Festivita">[1]Festività!$L$12:$L$27</definedName>
    <definedName name="VarD">MOD(((255-(11*MOD([0]!Anno,19)))-21),30)+21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2" l="1"/>
  <c r="AF35" i="2"/>
  <c r="AD35" i="2"/>
  <c r="AB35" i="2"/>
  <c r="Z35" i="2"/>
  <c r="X35" i="2"/>
  <c r="V35" i="2"/>
  <c r="T35" i="2"/>
  <c r="R35" i="2"/>
  <c r="P35" i="2"/>
  <c r="N35" i="2"/>
  <c r="L35" i="2"/>
  <c r="J35" i="2"/>
  <c r="H35" i="2"/>
  <c r="F35" i="2"/>
  <c r="D35" i="2"/>
  <c r="AH34" i="2"/>
  <c r="AF34" i="2"/>
  <c r="AD34" i="2"/>
  <c r="AB34" i="2"/>
  <c r="Z34" i="2"/>
  <c r="X34" i="2"/>
  <c r="V34" i="2"/>
  <c r="T34" i="2"/>
  <c r="R34" i="2"/>
  <c r="P34" i="2"/>
  <c r="N34" i="2"/>
  <c r="L34" i="2"/>
  <c r="J34" i="2"/>
  <c r="H34" i="2"/>
  <c r="F34" i="2"/>
  <c r="D34" i="2"/>
  <c r="AH33" i="2"/>
  <c r="AF33" i="2"/>
  <c r="AD33" i="2"/>
  <c r="AB33" i="2"/>
  <c r="Z33" i="2"/>
  <c r="X33" i="2"/>
  <c r="V33" i="2"/>
  <c r="T33" i="2"/>
  <c r="R33" i="2"/>
  <c r="P33" i="2"/>
  <c r="N33" i="2"/>
  <c r="L33" i="2"/>
  <c r="J33" i="2"/>
  <c r="H33" i="2"/>
  <c r="F33" i="2"/>
  <c r="D33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AH31" i="2"/>
  <c r="AF31" i="2"/>
  <c r="AD31" i="2"/>
  <c r="AB31" i="2"/>
  <c r="Z31" i="2"/>
  <c r="X31" i="2"/>
  <c r="V31" i="2"/>
  <c r="T31" i="2"/>
  <c r="R31" i="2"/>
  <c r="P31" i="2"/>
  <c r="N31" i="2"/>
  <c r="L31" i="2"/>
  <c r="J31" i="2"/>
  <c r="H31" i="2"/>
  <c r="F31" i="2"/>
  <c r="D31" i="2"/>
  <c r="AH30" i="2"/>
  <c r="AF30" i="2"/>
  <c r="AD30" i="2"/>
  <c r="AB30" i="2"/>
  <c r="Z30" i="2"/>
  <c r="X30" i="2"/>
  <c r="V30" i="2"/>
  <c r="T30" i="2"/>
  <c r="R30" i="2"/>
  <c r="P30" i="2"/>
  <c r="N30" i="2"/>
  <c r="L30" i="2"/>
  <c r="J30" i="2"/>
  <c r="H30" i="2"/>
  <c r="F30" i="2"/>
  <c r="D30" i="2"/>
  <c r="AH29" i="2"/>
  <c r="AF29" i="2"/>
  <c r="AD29" i="2"/>
  <c r="AB29" i="2"/>
  <c r="Z29" i="2"/>
  <c r="X29" i="2"/>
  <c r="V29" i="2"/>
  <c r="T29" i="2"/>
  <c r="R29" i="2"/>
  <c r="P29" i="2"/>
  <c r="N29" i="2"/>
  <c r="L29" i="2"/>
  <c r="J29" i="2"/>
  <c r="H29" i="2"/>
  <c r="F29" i="2"/>
  <c r="D29" i="2"/>
  <c r="AH28" i="2"/>
  <c r="AF28" i="2"/>
  <c r="AD28" i="2"/>
  <c r="AB28" i="2"/>
  <c r="Z28" i="2"/>
  <c r="X28" i="2"/>
  <c r="V28" i="2"/>
  <c r="T28" i="2"/>
  <c r="R28" i="2"/>
  <c r="P28" i="2"/>
  <c r="N28" i="2"/>
  <c r="L28" i="2"/>
  <c r="J28" i="2"/>
  <c r="H28" i="2"/>
  <c r="F28" i="2"/>
  <c r="D28" i="2"/>
  <c r="AH27" i="2"/>
  <c r="AF27" i="2"/>
  <c r="AD27" i="2"/>
  <c r="AB27" i="2"/>
  <c r="Z27" i="2"/>
  <c r="X27" i="2"/>
  <c r="V27" i="2"/>
  <c r="T27" i="2"/>
  <c r="R27" i="2"/>
  <c r="P27" i="2"/>
  <c r="N27" i="2"/>
  <c r="L27" i="2"/>
  <c r="J27" i="2"/>
  <c r="H27" i="2"/>
  <c r="F27" i="2"/>
  <c r="D27" i="2"/>
  <c r="AH26" i="2"/>
  <c r="AF26" i="2"/>
  <c r="AD26" i="2"/>
  <c r="AB26" i="2"/>
  <c r="Z26" i="2"/>
  <c r="X26" i="2"/>
  <c r="V26" i="2"/>
  <c r="T26" i="2"/>
  <c r="R26" i="2"/>
  <c r="P26" i="2"/>
  <c r="N26" i="2"/>
  <c r="L26" i="2"/>
  <c r="J26" i="2"/>
  <c r="H26" i="2"/>
  <c r="F26" i="2"/>
  <c r="D26" i="2"/>
  <c r="AH25" i="2"/>
  <c r="AF25" i="2"/>
  <c r="AD25" i="2"/>
  <c r="AB25" i="2"/>
  <c r="Z25" i="2"/>
  <c r="X25" i="2"/>
  <c r="V25" i="2"/>
  <c r="T25" i="2"/>
  <c r="R25" i="2"/>
  <c r="P25" i="2"/>
  <c r="N25" i="2"/>
  <c r="L25" i="2"/>
  <c r="J25" i="2"/>
  <c r="H25" i="2"/>
  <c r="F25" i="2"/>
  <c r="D25" i="2"/>
  <c r="AH24" i="2"/>
  <c r="AH36" i="2" s="1"/>
  <c r="AF24" i="2"/>
  <c r="AF36" i="2" s="1"/>
  <c r="AD24" i="2"/>
  <c r="AD36" i="2" s="1"/>
  <c r="AB24" i="2"/>
  <c r="AB36" i="2" s="1"/>
  <c r="Z24" i="2"/>
  <c r="Z36" i="2" s="1"/>
  <c r="X24" i="2"/>
  <c r="X36" i="2" s="1"/>
  <c r="V24" i="2"/>
  <c r="V36" i="2" s="1"/>
  <c r="T24" i="2"/>
  <c r="T36" i="2" s="1"/>
  <c r="R24" i="2"/>
  <c r="R36" i="2" s="1"/>
  <c r="P24" i="2"/>
  <c r="P36" i="2" s="1"/>
  <c r="N24" i="2"/>
  <c r="N36" i="2" s="1"/>
  <c r="L24" i="2"/>
  <c r="L36" i="2" s="1"/>
  <c r="J24" i="2"/>
  <c r="J36" i="2" s="1"/>
  <c r="H24" i="2"/>
  <c r="H36" i="2" s="1"/>
  <c r="F24" i="2"/>
  <c r="F36" i="2" s="1"/>
  <c r="T6" i="2" s="1"/>
  <c r="D24" i="2"/>
  <c r="D36" i="2" s="1"/>
  <c r="AH23" i="2"/>
  <c r="AF23" i="2"/>
  <c r="AD23" i="2"/>
  <c r="AB23" i="2"/>
  <c r="Z23" i="2"/>
  <c r="X23" i="2"/>
  <c r="V23" i="2"/>
  <c r="T23" i="2"/>
  <c r="R23" i="2"/>
  <c r="P23" i="2"/>
  <c r="N23" i="2"/>
  <c r="L23" i="2"/>
  <c r="J23" i="2"/>
  <c r="H23" i="2"/>
  <c r="F23" i="2"/>
  <c r="D23" i="2"/>
  <c r="AH22" i="2"/>
  <c r="AF22" i="2"/>
  <c r="AD22" i="2"/>
  <c r="AB22" i="2"/>
  <c r="Z22" i="2"/>
  <c r="X22" i="2"/>
  <c r="V22" i="2"/>
  <c r="T22" i="2"/>
  <c r="R22" i="2"/>
  <c r="P22" i="2"/>
  <c r="N22" i="2"/>
  <c r="L22" i="2"/>
  <c r="J22" i="2"/>
  <c r="H22" i="2"/>
  <c r="F22" i="2"/>
  <c r="D22" i="2"/>
  <c r="X6" i="2"/>
  <c r="C2" i="2"/>
  <c r="AB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</author>
    <author>marco barontini</author>
  </authors>
  <commentList>
    <comment ref="C2" authorId="0" shapeId="0" xr:uid="{E6ABA196-CA50-4339-A644-9FE92CFE3CA0}">
      <text>
        <r>
          <rPr>
            <b/>
            <sz val="8"/>
            <color indexed="81"/>
            <rFont val="Tahoma"/>
            <family val="2"/>
          </rPr>
          <t>Per modificare l'anno utilizza il foglio Festività</t>
        </r>
      </text>
    </comment>
    <comment ref="P6" authorId="1" shapeId="0" xr:uid="{8D47A1D4-D97A-4626-9279-11ACE754E1B2}">
      <text>
        <r>
          <rPr>
            <b/>
            <sz val="8"/>
            <color indexed="81"/>
            <rFont val="Tahoma"/>
            <family val="2"/>
          </rPr>
          <t>Inserire in questa cella il numero di giorni di ferie residuo dell'anno precedente</t>
        </r>
      </text>
    </comment>
    <comment ref="X6" authorId="1" shapeId="0" xr:uid="{14FFE1E2-3352-4B4C-A3F2-AFA9E82C9600}">
      <text>
        <r>
          <rPr>
            <b/>
            <sz val="8"/>
            <color indexed="81"/>
            <rFont val="Tahoma"/>
            <family val="2"/>
          </rPr>
          <t>Inserire in questa cella il numero di giorni di ferie per l'anno in corso come da contratto</t>
        </r>
      </text>
    </comment>
  </commentList>
</comments>
</file>

<file path=xl/sharedStrings.xml><?xml version="1.0" encoding="utf-8"?>
<sst xmlns="http://schemas.openxmlformats.org/spreadsheetml/2006/main" count="229" uniqueCount="27">
  <si>
    <t>P</t>
  </si>
  <si>
    <t>Anno</t>
  </si>
  <si>
    <t>Matricola</t>
  </si>
  <si>
    <t>Cognome e nome del dipendente</t>
  </si>
  <si>
    <t>DI RUOCCO ERNESTO</t>
  </si>
  <si>
    <t>Giorni Ferie Anno Prec</t>
  </si>
  <si>
    <t>Giorni Ferie Anno Corrente</t>
  </si>
  <si>
    <t>Riporto</t>
  </si>
  <si>
    <t>Residuo</t>
  </si>
  <si>
    <t xml:space="preserve">Giorni Ferie </t>
  </si>
  <si>
    <t xml:space="preserve">Residuo </t>
  </si>
  <si>
    <t>Gennaio</t>
  </si>
  <si>
    <t>SW</t>
  </si>
  <si>
    <t>Febbraio</t>
  </si>
  <si>
    <t>Marzo</t>
  </si>
  <si>
    <t>Aprile</t>
  </si>
  <si>
    <t>RC</t>
  </si>
  <si>
    <t>FP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</si>
  <si>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</si>
  <si>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</si>
  <si>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</si>
  <si>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</si>
  <si>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</si>
  <si>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</si>
  <si>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</si>
  <si>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</si>
  <si>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Foglio presenze 2.5 by Marco [mar::baro] Barontini - www.marbaro.it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</si>
</sst>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10]General"/>
    <numFmt numFmtId="168" formatCode="[$€-410]&quot; &quot;#,##0.00;[Red]&quot;-&quot;[$€-410]&quot; &quot;#,##0.00"/>
  </numFmts>
  <fonts count="28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CC0000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i/>
      <sz val="16"/>
      <color rgb="FF000000"/>
      <name val="Arial"/>
      <family val="2"/>
    </font>
    <font>
      <b/>
      <i/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000000"/>
      <name val="Arial3"/>
    </font>
    <font>
      <sz val="10"/>
      <color rgb="FF333333"/>
      <name val="Arial"/>
      <family val="2"/>
    </font>
    <font>
      <b/>
      <i/>
      <u/>
      <sz val="10"/>
      <color rgb="FF000000"/>
      <name val="Arial"/>
      <family val="2"/>
    </font>
    <font>
      <sz val="10"/>
      <name val="Arial"/>
    </font>
    <font>
      <b/>
      <sz val="10"/>
      <name val="Arial"/>
      <family val="2"/>
    </font>
    <font>
      <b/>
      <sz val="18"/>
      <color indexed="18"/>
      <name val="Arial"/>
      <family val="2"/>
    </font>
    <font>
      <b/>
      <sz val="16"/>
      <name val="Arial"/>
      <family val="2"/>
    </font>
    <font>
      <b/>
      <sz val="10"/>
      <color indexed="13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9"/>
      <name val="Arial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b/>
      <sz val="8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BFBFBF"/>
        <bgColor rgb="FFBFBFBF"/>
      </patternFill>
    </fill>
    <fill>
      <patternFill patternType="solid">
        <fgColor rgb="FFFF3333"/>
        <bgColor rgb="FFFF3333"/>
      </patternFill>
    </fill>
    <fill>
      <patternFill patternType="solid">
        <fgColor rgb="FFFFFF99"/>
        <bgColor rgb="FFFFFF99"/>
      </patternFill>
    </fill>
    <fill>
      <patternFill patternType="solid">
        <fgColor rgb="FFB2B2B2"/>
        <bgColor rgb="FFB2B2B2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</fills>
  <borders count="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6" borderId="0" applyNumberFormat="0" applyFont="0" applyBorder="0" applyAlignment="0" applyProtection="0"/>
    <xf numFmtId="166" fontId="1" fillId="7" borderId="0" applyFont="0" applyBorder="0" applyProtection="0"/>
    <xf numFmtId="166" fontId="1" fillId="8" borderId="0" applyFont="0" applyBorder="0" applyProtection="0"/>
    <xf numFmtId="166" fontId="1" fillId="9" borderId="0" applyFont="0" applyBorder="0" applyProtection="0"/>
    <xf numFmtId="0" fontId="1" fillId="0" borderId="0" applyNumberFormat="0" applyFont="0" applyFill="0" applyBorder="0" applyAlignment="0" applyProtection="0"/>
    <xf numFmtId="0" fontId="1" fillId="6" borderId="0" applyNumberFormat="0" applyFont="0" applyBorder="0" applyProtection="0"/>
    <xf numFmtId="0" fontId="3" fillId="10" borderId="0" applyNumberFormat="0" applyBorder="0" applyProtection="0"/>
    <xf numFmtId="166" fontId="1" fillId="0" borderId="0" applyFont="0" applyBorder="0" applyProtection="0"/>
    <xf numFmtId="0" fontId="5" fillId="0" borderId="0" applyNumberFormat="0" applyBorder="0" applyProtection="0"/>
    <xf numFmtId="0" fontId="6" fillId="11" borderId="0" applyNumberFormat="0" applyBorder="0" applyProtection="0"/>
    <xf numFmtId="0" fontId="7" fillId="0" borderId="0" applyNumberFormat="0" applyBorder="0" applyProtection="0">
      <alignment horizontal="center"/>
    </xf>
    <xf numFmtId="0" fontId="7" fillId="0" borderId="0" applyNumberFormat="0" applyBorder="0" applyProtection="0">
      <alignment horizontal="center" textRotation="90"/>
    </xf>
    <xf numFmtId="0" fontId="8" fillId="0" borderId="0" applyNumberFormat="0" applyBorder="0" applyProtection="0">
      <alignment horizontal="center"/>
    </xf>
    <xf numFmtId="0" fontId="9" fillId="0" borderId="0" applyNumberFormat="0" applyBorder="0" applyProtection="0"/>
    <xf numFmtId="0" fontId="10" fillId="12" borderId="0" applyNumberFormat="0" applyBorder="0" applyProtection="0"/>
    <xf numFmtId="166" fontId="11" fillId="0" borderId="0" applyBorder="0" applyProtection="0"/>
    <xf numFmtId="0" fontId="12" fillId="12" borderId="1" applyNumberFormat="0" applyProtection="0"/>
    <xf numFmtId="0" fontId="13" fillId="0" borderId="0" applyNumberFormat="0" applyBorder="0" applyProtection="0"/>
    <xf numFmtId="168" fontId="13" fillId="0" borderId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  <xf numFmtId="0" fontId="14" fillId="0" borderId="0"/>
  </cellStyleXfs>
  <cellXfs count="83">
    <xf numFmtId="0" fontId="0" fillId="0" borderId="0" xfId="0"/>
    <xf numFmtId="0" fontId="14" fillId="13" borderId="0" xfId="28" applyFill="1"/>
    <xf numFmtId="0" fontId="15" fillId="13" borderId="0" xfId="28" applyFont="1" applyFill="1" applyAlignment="1">
      <alignment horizontal="center"/>
    </xf>
    <xf numFmtId="0" fontId="15" fillId="13" borderId="5" xfId="28" applyFont="1" applyFill="1" applyBorder="1" applyAlignment="1">
      <alignment horizontal="center"/>
    </xf>
    <xf numFmtId="0" fontId="14" fillId="0" borderId="5" xfId="28" applyBorder="1"/>
    <xf numFmtId="0" fontId="15" fillId="13" borderId="0" xfId="28" applyFont="1" applyFill="1" applyAlignment="1">
      <alignment horizontal="center"/>
    </xf>
    <xf numFmtId="0" fontId="16" fillId="14" borderId="3" xfId="28" applyFont="1" applyFill="1" applyBorder="1" applyAlignment="1" applyProtection="1">
      <alignment horizontal="center" vertical="center"/>
      <protection hidden="1"/>
    </xf>
    <xf numFmtId="0" fontId="17" fillId="13" borderId="4" xfId="28" applyFont="1" applyFill="1" applyBorder="1" applyAlignment="1" applyProtection="1">
      <alignment horizontal="center" vertical="center"/>
      <protection locked="0"/>
    </xf>
    <xf numFmtId="0" fontId="17" fillId="0" borderId="6" xfId="28" applyFont="1" applyBorder="1" applyAlignment="1" applyProtection="1">
      <alignment horizontal="center" vertical="center"/>
      <protection locked="0"/>
    </xf>
    <xf numFmtId="0" fontId="17" fillId="0" borderId="7" xfId="28" applyFont="1" applyBorder="1" applyAlignment="1" applyProtection="1">
      <alignment horizontal="center" vertical="center"/>
      <protection locked="0"/>
    </xf>
    <xf numFmtId="0" fontId="17" fillId="13" borderId="4" xfId="28" applyFont="1" applyFill="1" applyBorder="1" applyAlignment="1" applyProtection="1">
      <alignment vertical="center"/>
      <protection locked="0"/>
    </xf>
    <xf numFmtId="0" fontId="17" fillId="13" borderId="6" xfId="28" applyFont="1" applyFill="1" applyBorder="1" applyAlignment="1" applyProtection="1">
      <alignment vertical="center"/>
      <protection locked="0"/>
    </xf>
    <xf numFmtId="0" fontId="14" fillId="0" borderId="7" xfId="28" applyBorder="1" applyAlignment="1" applyProtection="1">
      <alignment vertical="center"/>
      <protection locked="0"/>
    </xf>
    <xf numFmtId="0" fontId="18" fillId="15" borderId="8" xfId="28" applyFont="1" applyFill="1" applyBorder="1" applyAlignment="1">
      <alignment horizontal="center" vertical="center"/>
    </xf>
    <xf numFmtId="0" fontId="18" fillId="15" borderId="9" xfId="28" applyFont="1" applyFill="1" applyBorder="1" applyAlignment="1">
      <alignment horizontal="center" vertical="center"/>
    </xf>
    <xf numFmtId="0" fontId="18" fillId="16" borderId="8" xfId="28" applyFont="1" applyFill="1" applyBorder="1" applyAlignment="1">
      <alignment horizontal="center" vertical="center"/>
    </xf>
    <xf numFmtId="0" fontId="18" fillId="16" borderId="9" xfId="28" applyFont="1" applyFill="1" applyBorder="1" applyAlignment="1">
      <alignment horizontal="center" vertical="center"/>
    </xf>
    <xf numFmtId="0" fontId="18" fillId="16" borderId="10" xfId="28" applyFont="1" applyFill="1" applyBorder="1" applyAlignment="1">
      <alignment horizontal="center" vertical="center"/>
    </xf>
    <xf numFmtId="0" fontId="19" fillId="13" borderId="0" xfId="28" applyFont="1" applyFill="1" applyAlignment="1">
      <alignment vertical="top" wrapText="1"/>
    </xf>
    <xf numFmtId="0" fontId="19" fillId="17" borderId="8" xfId="28" applyFont="1" applyFill="1" applyBorder="1" applyAlignment="1">
      <alignment horizontal="center" vertical="center"/>
    </xf>
    <xf numFmtId="0" fontId="19" fillId="17" borderId="9" xfId="28" applyFont="1" applyFill="1" applyBorder="1" applyAlignment="1">
      <alignment horizontal="center" vertical="center"/>
    </xf>
    <xf numFmtId="0" fontId="19" fillId="14" borderId="8" xfId="28" applyFont="1" applyFill="1" applyBorder="1" applyAlignment="1">
      <alignment horizontal="center" vertical="center"/>
    </xf>
    <xf numFmtId="0" fontId="19" fillId="14" borderId="9" xfId="28" applyFont="1" applyFill="1" applyBorder="1" applyAlignment="1">
      <alignment horizontal="center" vertical="center"/>
    </xf>
    <xf numFmtId="0" fontId="19" fillId="17" borderId="8" xfId="28" applyFont="1" applyFill="1" applyBorder="1" applyAlignment="1">
      <alignment horizontal="center" vertical="center" wrapText="1"/>
    </xf>
    <xf numFmtId="0" fontId="19" fillId="14" borderId="10" xfId="28" applyFont="1" applyFill="1" applyBorder="1" applyAlignment="1">
      <alignment horizontal="center" vertical="center"/>
    </xf>
    <xf numFmtId="0" fontId="20" fillId="13" borderId="0" xfId="28" applyFont="1" applyFill="1"/>
    <xf numFmtId="0" fontId="21" fillId="13" borderId="0" xfId="28" applyFont="1" applyFill="1" applyAlignment="1" applyProtection="1">
      <alignment horizontal="right" wrapText="1"/>
      <protection hidden="1"/>
    </xf>
    <xf numFmtId="0" fontId="22" fillId="13" borderId="0" xfId="28" applyFont="1" applyFill="1" applyAlignment="1" applyProtection="1">
      <alignment horizontal="center"/>
      <protection hidden="1"/>
    </xf>
    <xf numFmtId="0" fontId="23" fillId="18" borderId="11" xfId="28" applyFont="1" applyFill="1" applyBorder="1" applyAlignment="1" applyProtection="1">
      <alignment horizontal="center" vertical="center"/>
      <protection locked="0"/>
    </xf>
    <xf numFmtId="0" fontId="23" fillId="14" borderId="12" xfId="28" applyFont="1" applyFill="1" applyBorder="1" applyAlignment="1" applyProtection="1">
      <alignment horizontal="center" vertical="center"/>
      <protection hidden="1"/>
    </xf>
    <xf numFmtId="0" fontId="24" fillId="13" borderId="3" xfId="28" applyFont="1" applyFill="1" applyBorder="1" applyAlignment="1">
      <alignment horizontal="center" vertical="center"/>
    </xf>
    <xf numFmtId="0" fontId="24" fillId="13" borderId="13" xfId="28" applyFont="1" applyFill="1" applyBorder="1" applyAlignment="1">
      <alignment horizontal="center" vertical="center"/>
    </xf>
    <xf numFmtId="0" fontId="24" fillId="13" borderId="14" xfId="28" applyFont="1" applyFill="1" applyBorder="1" applyAlignment="1">
      <alignment horizontal="center" vertical="center"/>
    </xf>
    <xf numFmtId="0" fontId="25" fillId="13" borderId="0" xfId="28" applyFont="1" applyFill="1" applyProtection="1">
      <protection hidden="1"/>
    </xf>
    <xf numFmtId="0" fontId="15" fillId="13" borderId="0" xfId="28" applyFont="1" applyFill="1"/>
    <xf numFmtId="0" fontId="25" fillId="13" borderId="0" xfId="28" applyFont="1" applyFill="1"/>
    <xf numFmtId="0" fontId="15" fillId="13" borderId="2" xfId="28" applyFont="1" applyFill="1" applyBorder="1" applyAlignment="1">
      <alignment horizontal="center" vertical="center"/>
    </xf>
    <xf numFmtId="0" fontId="19" fillId="13" borderId="2" xfId="28" applyFont="1" applyFill="1" applyBorder="1" applyAlignment="1" applyProtection="1">
      <alignment horizontal="center" vertical="center"/>
      <protection locked="0"/>
    </xf>
    <xf numFmtId="14" fontId="19" fillId="13" borderId="2" xfId="28" applyNumberFormat="1" applyFont="1" applyFill="1" applyBorder="1" applyAlignment="1" applyProtection="1">
      <alignment horizontal="center" vertical="center"/>
      <protection locked="0"/>
    </xf>
    <xf numFmtId="0" fontId="14" fillId="13" borderId="0" xfId="28" applyFill="1" applyProtection="1">
      <protection locked="0"/>
    </xf>
    <xf numFmtId="0" fontId="15" fillId="13" borderId="0" xfId="28" applyFont="1" applyFill="1" applyAlignment="1">
      <alignment vertical="top" wrapText="1"/>
    </xf>
    <xf numFmtId="0" fontId="14" fillId="13" borderId="0" xfId="28" applyFill="1" applyAlignment="1">
      <alignment wrapText="1"/>
    </xf>
    <xf numFmtId="0" fontId="15" fillId="13" borderId="3" xfId="28" applyFont="1" applyFill="1" applyBorder="1" applyAlignment="1">
      <alignment horizontal="center" vertical="center"/>
    </xf>
    <xf numFmtId="0" fontId="26" fillId="19" borderId="15" xfId="28" applyFont="1" applyFill="1" applyBorder="1" applyAlignment="1" applyProtection="1">
      <alignment horizontal="center" vertical="center"/>
      <protection locked="0"/>
    </xf>
    <xf numFmtId="0" fontId="19" fillId="20" borderId="16" xfId="28" applyFont="1" applyFill="1" applyBorder="1" applyAlignment="1" applyProtection="1">
      <alignment horizontal="center" vertical="center"/>
      <protection hidden="1"/>
    </xf>
    <xf numFmtId="0" fontId="19" fillId="20" borderId="17" xfId="28" applyFont="1" applyFill="1" applyBorder="1" applyAlignment="1" applyProtection="1">
      <alignment horizontal="center" vertical="center"/>
      <protection hidden="1"/>
    </xf>
    <xf numFmtId="0" fontId="20" fillId="13" borderId="0" xfId="28" applyFont="1" applyFill="1" applyAlignment="1">
      <alignment vertical="top" wrapText="1"/>
    </xf>
    <xf numFmtId="0" fontId="19" fillId="13" borderId="3" xfId="28" applyFont="1" applyFill="1" applyBorder="1" applyAlignment="1" applyProtection="1">
      <alignment horizontal="center" vertical="center"/>
      <protection locked="0"/>
    </xf>
    <xf numFmtId="0" fontId="15" fillId="13" borderId="0" xfId="28" applyFont="1" applyFill="1" applyAlignment="1" applyProtection="1">
      <alignment horizontal="center" vertical="center"/>
      <protection hidden="1"/>
    </xf>
    <xf numFmtId="0" fontId="19" fillId="13" borderId="0" xfId="28" applyFont="1" applyFill="1" applyAlignment="1" applyProtection="1">
      <alignment horizontal="center" vertical="center"/>
      <protection hidden="1"/>
    </xf>
    <xf numFmtId="0" fontId="14" fillId="13" borderId="0" xfId="28" applyFill="1" applyProtection="1">
      <protection hidden="1"/>
    </xf>
    <xf numFmtId="0" fontId="15" fillId="21" borderId="4" xfId="28" applyFont="1" applyFill="1" applyBorder="1" applyAlignment="1" applyProtection="1">
      <alignment horizontal="center" vertical="center"/>
      <protection hidden="1"/>
    </xf>
    <xf numFmtId="0" fontId="15" fillId="21" borderId="7" xfId="28" applyFont="1" applyFill="1" applyBorder="1" applyAlignment="1" applyProtection="1">
      <alignment horizontal="center" vertical="center"/>
      <protection hidden="1"/>
    </xf>
    <xf numFmtId="0" fontId="15" fillId="13" borderId="4" xfId="28" applyFont="1" applyFill="1" applyBorder="1" applyAlignment="1" applyProtection="1">
      <alignment horizontal="center" vertical="center"/>
      <protection hidden="1"/>
    </xf>
    <xf numFmtId="0" fontId="15" fillId="13" borderId="7" xfId="28" applyFont="1" applyFill="1" applyBorder="1" applyAlignment="1" applyProtection="1">
      <alignment horizontal="center" vertical="center"/>
      <protection hidden="1"/>
    </xf>
    <xf numFmtId="0" fontId="15" fillId="21" borderId="4" xfId="28" applyFont="1" applyFill="1" applyBorder="1" applyAlignment="1" applyProtection="1">
      <alignment horizontal="center" textRotation="90" wrapText="1"/>
      <protection hidden="1"/>
    </xf>
    <xf numFmtId="0" fontId="15" fillId="21" borderId="7" xfId="28" applyFont="1" applyFill="1" applyBorder="1" applyAlignment="1" applyProtection="1">
      <alignment horizontal="center" textRotation="90" wrapText="1"/>
      <protection hidden="1"/>
    </xf>
    <xf numFmtId="0" fontId="15" fillId="13" borderId="2" xfId="28" applyFont="1" applyFill="1" applyBorder="1" applyAlignment="1" applyProtection="1">
      <alignment horizontal="center" vertical="center"/>
      <protection hidden="1"/>
    </xf>
    <xf numFmtId="0" fontId="20" fillId="21" borderId="3" xfId="28" applyFont="1" applyFill="1" applyBorder="1" applyAlignment="1" applyProtection="1">
      <alignment horizontal="center" vertical="center"/>
      <protection hidden="1"/>
    </xf>
    <xf numFmtId="0" fontId="20" fillId="0" borderId="3" xfId="28" applyFont="1" applyBorder="1" applyAlignment="1" applyProtection="1">
      <alignment horizontal="center" vertical="center"/>
      <protection hidden="1"/>
    </xf>
    <xf numFmtId="0" fontId="20" fillId="13" borderId="3" xfId="28" applyFont="1" applyFill="1" applyBorder="1" applyAlignment="1" applyProtection="1">
      <alignment horizontal="center" vertical="center"/>
      <protection hidden="1"/>
    </xf>
    <xf numFmtId="0" fontId="20" fillId="22" borderId="3" xfId="28" applyFont="1" applyFill="1" applyBorder="1" applyAlignment="1" applyProtection="1">
      <alignment horizontal="center" vertical="center"/>
      <protection hidden="1"/>
    </xf>
    <xf numFmtId="0" fontId="20" fillId="23" borderId="3" xfId="28" applyFont="1" applyFill="1" applyBorder="1" applyAlignment="1" applyProtection="1">
      <alignment horizontal="center" vertical="center"/>
      <protection hidden="1"/>
    </xf>
    <xf numFmtId="0" fontId="20" fillId="24" borderId="3" xfId="28" applyFont="1" applyFill="1" applyBorder="1" applyAlignment="1" applyProtection="1">
      <alignment horizontal="center" vertical="center"/>
      <protection hidden="1"/>
    </xf>
    <xf numFmtId="0" fontId="15" fillId="13" borderId="3" xfId="28" applyFont="1" applyFill="1" applyBorder="1" applyAlignment="1" applyProtection="1">
      <alignment horizontal="center" vertical="center"/>
      <protection hidden="1"/>
    </xf>
    <xf numFmtId="0" fontId="15" fillId="21" borderId="18" xfId="28" applyFont="1" applyFill="1" applyBorder="1" applyAlignment="1" applyProtection="1">
      <alignment horizontal="center" vertical="center"/>
      <protection hidden="1"/>
    </xf>
    <xf numFmtId="0" fontId="15" fillId="0" borderId="18" xfId="28" applyFont="1" applyBorder="1" applyAlignment="1" applyProtection="1">
      <alignment horizontal="center" vertical="center"/>
      <protection hidden="1"/>
    </xf>
    <xf numFmtId="0" fontId="15" fillId="13" borderId="18" xfId="28" applyFont="1" applyFill="1" applyBorder="1" applyAlignment="1" applyProtection="1">
      <alignment horizontal="center" vertical="center"/>
      <protection hidden="1"/>
    </xf>
    <xf numFmtId="0" fontId="15" fillId="22" borderId="18" xfId="28" applyFont="1" applyFill="1" applyBorder="1" applyAlignment="1" applyProtection="1">
      <alignment horizontal="center" vertical="center"/>
      <protection hidden="1"/>
    </xf>
    <xf numFmtId="0" fontId="15" fillId="23" borderId="18" xfId="28" applyFont="1" applyFill="1" applyBorder="1" applyAlignment="1" applyProtection="1">
      <alignment horizontal="center" vertical="center"/>
      <protection hidden="1"/>
    </xf>
    <xf numFmtId="0" fontId="15" fillId="13" borderId="19" xfId="28" applyFont="1" applyFill="1" applyBorder="1" applyAlignment="1" applyProtection="1">
      <alignment horizontal="center" vertical="center"/>
      <protection hidden="1"/>
    </xf>
    <xf numFmtId="0" fontId="15" fillId="13" borderId="20" xfId="28" applyFont="1" applyFill="1" applyBorder="1" applyAlignment="1" applyProtection="1">
      <alignment horizontal="center" vertical="center"/>
      <protection hidden="1"/>
    </xf>
    <xf numFmtId="0" fontId="15" fillId="23" borderId="19" xfId="28" applyFont="1" applyFill="1" applyBorder="1" applyAlignment="1" applyProtection="1">
      <alignment horizontal="center" vertical="center"/>
      <protection hidden="1"/>
    </xf>
    <xf numFmtId="0" fontId="15" fillId="23" borderId="20" xfId="28" applyFont="1" applyFill="1" applyBorder="1" applyAlignment="1" applyProtection="1">
      <alignment horizontal="center" vertical="center"/>
      <protection hidden="1"/>
    </xf>
    <xf numFmtId="0" fontId="15" fillId="24" borderId="19" xfId="28" applyFont="1" applyFill="1" applyBorder="1" applyAlignment="1" applyProtection="1">
      <alignment horizontal="center" vertical="center"/>
      <protection hidden="1"/>
    </xf>
    <xf numFmtId="0" fontId="15" fillId="24" borderId="20" xfId="28" applyFont="1" applyFill="1" applyBorder="1" applyAlignment="1" applyProtection="1">
      <alignment horizontal="center" vertical="center"/>
      <protection hidden="1"/>
    </xf>
    <xf numFmtId="0" fontId="15" fillId="24" borderId="18" xfId="28" applyFont="1" applyFill="1" applyBorder="1" applyAlignment="1" applyProtection="1">
      <alignment horizontal="center" vertical="center" wrapText="1"/>
      <protection hidden="1"/>
    </xf>
    <xf numFmtId="0" fontId="15" fillId="13" borderId="18" xfId="28" applyFont="1" applyFill="1" applyBorder="1" applyAlignment="1" applyProtection="1">
      <alignment horizontal="center" vertical="center" wrapText="1"/>
      <protection hidden="1"/>
    </xf>
    <xf numFmtId="0" fontId="14" fillId="23" borderId="0" xfId="28" applyFill="1"/>
    <xf numFmtId="0" fontId="24" fillId="23" borderId="0" xfId="28" applyFont="1" applyFill="1" applyAlignment="1">
      <alignment horizontal="center"/>
    </xf>
    <xf numFmtId="0" fontId="14" fillId="0" borderId="0" xfId="28"/>
    <xf numFmtId="0" fontId="24" fillId="13" borderId="0" xfId="28" applyFont="1" applyFill="1" applyAlignment="1">
      <alignment horizontal="center"/>
    </xf>
    <xf numFmtId="0" fontId="14" fillId="0" borderId="0" xfId="28"/>
  </cellXfs>
  <cellStyles count="29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cf1" xfId="6" xr:uid="{00000000-0005-0000-0000-000005000000}"/>
    <cellStyle name="cf10" xfId="7" xr:uid="{00000000-0005-0000-0000-000006000000}"/>
    <cellStyle name="cf11" xfId="8" xr:uid="{00000000-0005-0000-0000-000007000000}"/>
    <cellStyle name="cf12" xfId="9" xr:uid="{00000000-0005-0000-0000-000008000000}"/>
    <cellStyle name="cf2" xfId="10" xr:uid="{00000000-0005-0000-0000-000009000000}"/>
    <cellStyle name="ConditionalStyle_1" xfId="11" xr:uid="{00000000-0005-0000-0000-00000A000000}"/>
    <cellStyle name="Error" xfId="12" xr:uid="{00000000-0005-0000-0000-00000B000000}"/>
    <cellStyle name="Excel Built-in Normal 1" xfId="13" xr:uid="{00000000-0005-0000-0000-00000C000000}"/>
    <cellStyle name="Footnote" xfId="14" xr:uid="{00000000-0005-0000-0000-00000D000000}"/>
    <cellStyle name="Good" xfId="15" xr:uid="{00000000-0005-0000-0000-00000E000000}"/>
    <cellStyle name="Heading" xfId="16" xr:uid="{00000000-0005-0000-0000-00000F000000}"/>
    <cellStyle name="Heading 1" xfId="17" xr:uid="{00000000-0005-0000-0000-000010000000}"/>
    <cellStyle name="Heading 2" xfId="18" xr:uid="{00000000-0005-0000-0000-000011000000}"/>
    <cellStyle name="Hyperlink" xfId="19" xr:uid="{00000000-0005-0000-0000-000012000000}"/>
    <cellStyle name="Neutral" xfId="20" xr:uid="{00000000-0005-0000-0000-000013000000}"/>
    <cellStyle name="Normale" xfId="0" builtinId="0" customBuiltin="1"/>
    <cellStyle name="Normale 2" xfId="28" xr:uid="{7B3D0659-DC6E-4635-96F4-CCA3D1B16B43}"/>
    <cellStyle name="Normale 4" xfId="21" xr:uid="{00000000-0005-0000-0000-000015000000}"/>
    <cellStyle name="Note" xfId="22" xr:uid="{00000000-0005-0000-0000-000016000000}"/>
    <cellStyle name="Result" xfId="23" xr:uid="{00000000-0005-0000-0000-000017000000}"/>
    <cellStyle name="Result2" xfId="24" xr:uid="{00000000-0005-0000-0000-000018000000}"/>
    <cellStyle name="Status" xfId="25" xr:uid="{00000000-0005-0000-0000-000019000000}"/>
    <cellStyle name="Text" xfId="26" xr:uid="{00000000-0005-0000-0000-00001A000000}"/>
    <cellStyle name="Warning" xfId="27" xr:uid="{00000000-0005-0000-0000-00001B000000}"/>
  </cellStyles>
  <dxfs count="10"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mruColors>
      <color rgb="FFFFC000"/>
      <color rgb="FFFF0000"/>
      <color rgb="FFD6DCE4"/>
      <color rgb="FFBDD7EE"/>
      <color rgb="FFA9D08E"/>
      <color rgb="FFCC99FF"/>
      <color rgb="FFFFCC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munenapoliit-my.sharepoint.com/personal/ernesto_diruocco_comune_napoli_it1/Documents/1%20-%20ERNESTO/PRESENZE/2026_foglio_presenze_Ernesto.xlsx" TargetMode="External"/><Relationship Id="rId1" Type="http://schemas.openxmlformats.org/officeDocument/2006/relationships/externalLinkPath" Target="https://comunenapoliit-my.sharepoint.com/personal/ernesto_diruocco_comune_napoli_it1/Documents/1%20-%20ERNESTO/PRESENZE/2026_foglio_presenze_Erne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stività"/>
      <sheetName val="Tipologie"/>
      <sheetName val="Foglio-presenze"/>
      <sheetName val="Riepilogo"/>
      <sheetName val="Straordinario"/>
      <sheetName val="Riepilogo Straordinario"/>
      <sheetName val="Riferimenti"/>
    </sheetNames>
    <sheetDataSet>
      <sheetData sheetId="0">
        <row r="6">
          <cell r="F6">
            <v>2026</v>
          </cell>
        </row>
        <row r="12">
          <cell r="L12">
            <v>46023</v>
          </cell>
        </row>
        <row r="13">
          <cell r="L13">
            <v>46028</v>
          </cell>
        </row>
        <row r="14">
          <cell r="L14">
            <v>46137</v>
          </cell>
        </row>
        <row r="15">
          <cell r="L15">
            <v>46143</v>
          </cell>
        </row>
        <row r="16">
          <cell r="L16">
            <v>46175</v>
          </cell>
        </row>
        <row r="17">
          <cell r="L17">
            <v>46249</v>
          </cell>
        </row>
        <row r="18">
          <cell r="L18">
            <v>46327</v>
          </cell>
        </row>
        <row r="19">
          <cell r="L19">
            <v>46364</v>
          </cell>
        </row>
        <row r="20">
          <cell r="L20">
            <v>46381</v>
          </cell>
        </row>
        <row r="21">
          <cell r="L21">
            <v>46382</v>
          </cell>
        </row>
        <row r="22">
          <cell r="L22">
            <v>46284</v>
          </cell>
        </row>
        <row r="23">
          <cell r="L23" t="str">
            <v/>
          </cell>
        </row>
        <row r="24">
          <cell r="L24" t="str">
            <v/>
          </cell>
        </row>
        <row r="25">
          <cell r="L25" t="str">
            <v/>
          </cell>
        </row>
        <row r="26">
          <cell r="L26">
            <v>46117</v>
          </cell>
        </row>
        <row r="27">
          <cell r="L27">
            <v>46118</v>
          </cell>
        </row>
      </sheetData>
      <sheetData sheetId="1">
        <row r="15">
          <cell r="B15" t="str">
            <v>P</v>
          </cell>
          <cell r="C15" t="str">
            <v>Presenza in Servizio</v>
          </cell>
        </row>
        <row r="16">
          <cell r="B16" t="str">
            <v>Fp</v>
          </cell>
          <cell r="C16" t="str">
            <v>Ferie Anno Prec.</v>
          </cell>
        </row>
        <row r="17">
          <cell r="B17" t="str">
            <v>Fc</v>
          </cell>
          <cell r="C17" t="str">
            <v>Ferie Anno Corr.</v>
          </cell>
        </row>
        <row r="18">
          <cell r="B18" t="str">
            <v>PB</v>
          </cell>
          <cell r="C18" t="str">
            <v>Punti B  Festività soppresse</v>
          </cell>
        </row>
        <row r="19">
          <cell r="B19" t="str">
            <v>M</v>
          </cell>
          <cell r="C19" t="str">
            <v>Malattia</v>
          </cell>
        </row>
        <row r="20">
          <cell r="B20" t="str">
            <v>SW</v>
          </cell>
          <cell r="C20" t="str">
            <v>Smart Working</v>
          </cell>
        </row>
        <row r="21">
          <cell r="B21" t="str">
            <v>C</v>
          </cell>
          <cell r="C21" t="str">
            <v>Covid</v>
          </cell>
        </row>
        <row r="22">
          <cell r="B22" t="str">
            <v>A41</v>
          </cell>
          <cell r="C22" t="str">
            <v>Art. 41 Permessi Personali</v>
          </cell>
        </row>
        <row r="23">
          <cell r="B23" t="str">
            <v>A44</v>
          </cell>
          <cell r="C23" t="str">
            <v>Art. 44 Visite Mediche</v>
          </cell>
        </row>
        <row r="24">
          <cell r="B24" t="str">
            <v>RC</v>
          </cell>
          <cell r="C24" t="str">
            <v>Riposo Comp.</v>
          </cell>
        </row>
        <row r="25">
          <cell r="B25" t="str">
            <v>DA</v>
          </cell>
          <cell r="C25" t="str">
            <v>Donazione Avis</v>
          </cell>
        </row>
        <row r="26">
          <cell r="B26" t="str">
            <v>DS</v>
          </cell>
          <cell r="C26" t="str">
            <v>art. 46 Diritto Studio</v>
          </cell>
        </row>
        <row r="27">
          <cell r="B27" t="str">
            <v>PE</v>
          </cell>
          <cell r="C27" t="str">
            <v>art. 40 Permesso Esame</v>
          </cell>
        </row>
        <row r="28">
          <cell r="B28" t="str">
            <v>PL</v>
          </cell>
          <cell r="C28" t="str">
            <v>Permesso L. 104</v>
          </cell>
        </row>
        <row r="29">
          <cell r="B29" t="str">
            <v>PS</v>
          </cell>
          <cell r="C29" t="str">
            <v>Permesso Sindacale</v>
          </cell>
        </row>
        <row r="30">
          <cell r="B30" t="str">
            <v>MP</v>
          </cell>
          <cell r="C30" t="str">
            <v>Motivi personali</v>
          </cell>
        </row>
      </sheetData>
      <sheetData sheetId="2"/>
      <sheetData sheetId="3">
        <row r="16">
          <cell r="E16">
            <v>14.000000000000002</v>
          </cell>
        </row>
        <row r="17">
          <cell r="F17">
            <v>2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2CF1-7FB2-4400-B1E8-A55E40DE1C18}">
  <dimension ref="A1:AQ40"/>
  <sheetViews>
    <sheetView tabSelected="1" topLeftCell="A4" zoomScale="85" zoomScaleNormal="85" workbookViewId="0">
      <selection activeCell="AP25" sqref="AP25"/>
    </sheetView>
  </sheetViews>
  <sheetFormatPr defaultColWidth="9.140625" defaultRowHeight="12.75"/>
  <cols>
    <col min="1" max="1" width="1.7109375" style="1" customWidth="1"/>
    <col min="2" max="2" width="1.7109375" style="1" hidden="1" customWidth="1"/>
    <col min="3" max="3" width="12.7109375" style="1" customWidth="1"/>
    <col min="4" max="35" width="4.28515625" style="1" customWidth="1"/>
    <col min="36" max="36" width="8.28515625" style="1" customWidth="1"/>
    <col min="37" max="38" width="7.7109375" style="1" customWidth="1"/>
    <col min="39" max="39" width="27" style="1" customWidth="1"/>
    <col min="40" max="41" width="8.28515625" style="1" customWidth="1"/>
    <col min="42" max="16384" width="9.140625" style="1"/>
  </cols>
  <sheetData>
    <row r="1" spans="1:43" ht="15.95" customHeight="1">
      <c r="C1" s="2" t="s">
        <v>1</v>
      </c>
      <c r="E1" s="3" t="s">
        <v>2</v>
      </c>
      <c r="F1" s="4"/>
      <c r="G1" s="4"/>
      <c r="H1" s="4"/>
      <c r="I1" s="4"/>
      <c r="J1" s="4"/>
      <c r="L1" s="5" t="s">
        <v>3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2"/>
    </row>
    <row r="2" spans="1:43" ht="24.95" customHeight="1">
      <c r="C2" s="6">
        <f>Anno</f>
        <v>2026</v>
      </c>
      <c r="E2" s="7">
        <v>57006</v>
      </c>
      <c r="F2" s="8"/>
      <c r="G2" s="8"/>
      <c r="H2" s="8"/>
      <c r="I2" s="8"/>
      <c r="J2" s="9"/>
      <c r="L2" s="10" t="s">
        <v>4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</row>
    <row r="3" spans="1:43" ht="6" customHeight="1"/>
    <row r="4" spans="1:43" ht="20.100000000000001" customHeight="1">
      <c r="P4" s="13" t="s">
        <v>5</v>
      </c>
      <c r="Q4" s="14"/>
      <c r="R4" s="14"/>
      <c r="S4" s="14"/>
      <c r="T4" s="14"/>
      <c r="U4" s="14"/>
      <c r="V4" s="14"/>
      <c r="W4" s="14"/>
      <c r="X4" s="15" t="s">
        <v>6</v>
      </c>
      <c r="Y4" s="16"/>
      <c r="Z4" s="16"/>
      <c r="AA4" s="16"/>
      <c r="AB4" s="16"/>
      <c r="AC4" s="16"/>
      <c r="AD4" s="16"/>
      <c r="AE4" s="17"/>
    </row>
    <row r="5" spans="1:43" ht="20.100000000000001" customHeight="1">
      <c r="H5" s="18"/>
      <c r="I5" s="18"/>
      <c r="J5" s="18"/>
      <c r="K5" s="18"/>
      <c r="P5" s="19" t="s">
        <v>7</v>
      </c>
      <c r="Q5" s="20"/>
      <c r="R5" s="20"/>
      <c r="S5" s="20"/>
      <c r="T5" s="21" t="s">
        <v>8</v>
      </c>
      <c r="U5" s="22"/>
      <c r="V5" s="22"/>
      <c r="W5" s="22"/>
      <c r="X5" s="23" t="s">
        <v>9</v>
      </c>
      <c r="Y5" s="20"/>
      <c r="Z5" s="20"/>
      <c r="AA5" s="20"/>
      <c r="AB5" s="21" t="s">
        <v>10</v>
      </c>
      <c r="AC5" s="22"/>
      <c r="AD5" s="22"/>
      <c r="AE5" s="24"/>
    </row>
    <row r="6" spans="1:43" ht="20.100000000000001" customHeight="1">
      <c r="C6" s="25"/>
      <c r="D6" s="25"/>
      <c r="E6" s="25"/>
      <c r="F6" s="25"/>
      <c r="G6" s="25"/>
      <c r="H6" s="18"/>
      <c r="I6" s="18"/>
      <c r="J6" s="26"/>
      <c r="K6" s="26"/>
      <c r="L6" s="27"/>
      <c r="M6" s="27"/>
      <c r="N6" s="27"/>
      <c r="O6" s="27"/>
      <c r="P6" s="28">
        <v>24</v>
      </c>
      <c r="Q6" s="28"/>
      <c r="R6" s="28"/>
      <c r="S6" s="28"/>
      <c r="T6" s="29">
        <f>P6-F36</f>
        <v>7</v>
      </c>
      <c r="U6" s="29"/>
      <c r="V6" s="29"/>
      <c r="W6" s="29"/>
      <c r="X6" s="28">
        <f>[1]Riepilogo!E16+[1]Riepilogo!F17</f>
        <v>16</v>
      </c>
      <c r="Y6" s="28"/>
      <c r="Z6" s="28"/>
      <c r="AA6" s="28"/>
      <c r="AB6" s="29">
        <f>X6-H36</f>
        <v>16</v>
      </c>
      <c r="AC6" s="29"/>
      <c r="AD6" s="29"/>
      <c r="AE6" s="29"/>
    </row>
    <row r="7" spans="1:43" ht="6" customHeight="1"/>
    <row r="8" spans="1:43" ht="18" customHeight="1">
      <c r="D8" s="30">
        <v>1</v>
      </c>
      <c r="E8" s="30">
        <v>2</v>
      </c>
      <c r="F8" s="30">
        <v>3</v>
      </c>
      <c r="G8" s="30">
        <v>4</v>
      </c>
      <c r="H8" s="31">
        <v>5</v>
      </c>
      <c r="I8" s="32">
        <v>6</v>
      </c>
      <c r="J8" s="30">
        <v>7</v>
      </c>
      <c r="K8" s="30">
        <v>8</v>
      </c>
      <c r="L8" s="30">
        <v>9</v>
      </c>
      <c r="M8" s="31">
        <v>10</v>
      </c>
      <c r="N8" s="32">
        <v>11</v>
      </c>
      <c r="O8" s="30">
        <v>12</v>
      </c>
      <c r="P8" s="30">
        <v>13</v>
      </c>
      <c r="Q8" s="30">
        <v>14</v>
      </c>
      <c r="R8" s="31">
        <v>15</v>
      </c>
      <c r="S8" s="32">
        <v>16</v>
      </c>
      <c r="T8" s="30">
        <v>17</v>
      </c>
      <c r="U8" s="30">
        <v>18</v>
      </c>
      <c r="V8" s="30">
        <v>19</v>
      </c>
      <c r="W8" s="31">
        <v>20</v>
      </c>
      <c r="X8" s="32">
        <v>21</v>
      </c>
      <c r="Y8" s="30">
        <v>22</v>
      </c>
      <c r="Z8" s="30">
        <v>23</v>
      </c>
      <c r="AA8" s="30">
        <v>24</v>
      </c>
      <c r="AB8" s="31">
        <v>25</v>
      </c>
      <c r="AC8" s="32">
        <v>26</v>
      </c>
      <c r="AD8" s="30">
        <v>27</v>
      </c>
      <c r="AE8" s="30">
        <v>28</v>
      </c>
      <c r="AF8" s="30">
        <v>29</v>
      </c>
      <c r="AG8" s="31">
        <v>30</v>
      </c>
      <c r="AH8" s="32">
        <v>31</v>
      </c>
      <c r="AI8" s="33"/>
      <c r="AJ8" s="34"/>
      <c r="AL8" s="34"/>
      <c r="AM8" s="34"/>
      <c r="AN8" s="34"/>
      <c r="AO8" s="34"/>
      <c r="AP8" s="34"/>
      <c r="AQ8" s="34"/>
    </row>
    <row r="9" spans="1:43" ht="18" customHeight="1">
      <c r="A9" s="35">
        <v>1</v>
      </c>
      <c r="B9" s="35">
        <v>1</v>
      </c>
      <c r="C9" s="36" t="s">
        <v>11</v>
      </c>
      <c r="D9" s="37"/>
      <c r="E9" s="37" t="s">
        <v>0</v>
      </c>
      <c r="F9" s="38"/>
      <c r="G9" s="38"/>
      <c r="H9" s="38" t="s">
        <v>0</v>
      </c>
      <c r="I9" s="37"/>
      <c r="J9" s="39" t="s">
        <v>12</v>
      </c>
      <c r="K9" s="37" t="s">
        <v>0</v>
      </c>
      <c r="L9" s="37" t="s">
        <v>12</v>
      </c>
      <c r="M9" s="38"/>
      <c r="N9" s="38"/>
      <c r="O9" s="37" t="s">
        <v>0</v>
      </c>
      <c r="P9" s="37" t="s">
        <v>0</v>
      </c>
      <c r="Q9" s="37" t="s">
        <v>12</v>
      </c>
      <c r="R9" s="37" t="s">
        <v>0</v>
      </c>
      <c r="S9" s="37" t="s">
        <v>12</v>
      </c>
      <c r="T9" s="37"/>
      <c r="U9" s="37"/>
      <c r="V9" s="37" t="s">
        <v>12</v>
      </c>
      <c r="W9" s="37" t="s">
        <v>0</v>
      </c>
      <c r="X9" s="37" t="s">
        <v>12</v>
      </c>
      <c r="Y9" s="37" t="s">
        <v>0</v>
      </c>
      <c r="Z9" s="37" t="s">
        <v>0</v>
      </c>
      <c r="AA9" s="38"/>
      <c r="AB9" s="37"/>
      <c r="AC9" s="37" t="s">
        <v>12</v>
      </c>
      <c r="AD9" s="37" t="s">
        <v>0</v>
      </c>
      <c r="AE9" s="37" t="s">
        <v>12</v>
      </c>
      <c r="AF9" s="37" t="s">
        <v>0</v>
      </c>
      <c r="AG9" s="37" t="s">
        <v>0</v>
      </c>
      <c r="AH9" s="37"/>
      <c r="AI9" s="33"/>
      <c r="AJ9" s="40"/>
      <c r="AK9" s="41"/>
      <c r="AL9" s="41"/>
      <c r="AM9" s="41"/>
      <c r="AN9" s="41"/>
    </row>
    <row r="10" spans="1:43" ht="18" customHeight="1">
      <c r="A10" s="35">
        <v>2</v>
      </c>
      <c r="B10" s="35">
        <v>2</v>
      </c>
      <c r="C10" s="42" t="s">
        <v>13</v>
      </c>
      <c r="D10" s="37"/>
      <c r="E10" s="37" t="s">
        <v>12</v>
      </c>
      <c r="F10" s="38" t="s">
        <v>0</v>
      </c>
      <c r="G10" s="38" t="s">
        <v>12</v>
      </c>
      <c r="H10" s="37" t="s">
        <v>0</v>
      </c>
      <c r="I10" s="37" t="s">
        <v>0</v>
      </c>
      <c r="J10" s="38"/>
      <c r="K10" s="38"/>
      <c r="L10" s="38" t="s">
        <v>12</v>
      </c>
      <c r="M10" s="38" t="s">
        <v>12</v>
      </c>
      <c r="N10" s="38" t="s">
        <v>0</v>
      </c>
      <c r="O10" s="37" t="s">
        <v>0</v>
      </c>
      <c r="P10" s="37" t="s">
        <v>0</v>
      </c>
      <c r="Q10" s="37"/>
      <c r="R10" s="37"/>
      <c r="S10" s="38" t="s">
        <v>12</v>
      </c>
      <c r="T10" s="37" t="s">
        <v>0</v>
      </c>
      <c r="U10" s="38" t="s">
        <v>12</v>
      </c>
      <c r="V10" s="37" t="s">
        <v>0</v>
      </c>
      <c r="W10" s="37" t="s">
        <v>0</v>
      </c>
      <c r="X10" s="37"/>
      <c r="Y10" s="37"/>
      <c r="Z10" s="37" t="s">
        <v>12</v>
      </c>
      <c r="AA10" s="43" t="s">
        <v>0</v>
      </c>
      <c r="AB10" s="37" t="s">
        <v>12</v>
      </c>
      <c r="AC10" s="37" t="s">
        <v>0</v>
      </c>
      <c r="AD10" s="37" t="s">
        <v>0</v>
      </c>
      <c r="AE10" s="37"/>
      <c r="AF10" s="37"/>
      <c r="AG10" s="44"/>
      <c r="AH10" s="45"/>
      <c r="AI10" s="33"/>
      <c r="AJ10" s="41"/>
      <c r="AK10" s="41"/>
      <c r="AL10" s="41"/>
      <c r="AM10" s="41"/>
      <c r="AN10" s="41"/>
    </row>
    <row r="11" spans="1:43" ht="18" customHeight="1">
      <c r="A11" s="35">
        <v>3</v>
      </c>
      <c r="B11" s="35">
        <v>3</v>
      </c>
      <c r="C11" s="42" t="s">
        <v>14</v>
      </c>
      <c r="D11" s="37"/>
      <c r="E11" s="37" t="s">
        <v>12</v>
      </c>
      <c r="F11" s="38" t="s">
        <v>0</v>
      </c>
      <c r="G11" s="37" t="s">
        <v>12</v>
      </c>
      <c r="H11" s="37" t="s">
        <v>0</v>
      </c>
      <c r="I11" s="37" t="s">
        <v>0</v>
      </c>
      <c r="J11" s="37"/>
      <c r="K11" s="37"/>
      <c r="L11" s="37" t="s">
        <v>12</v>
      </c>
      <c r="M11" s="37" t="s">
        <v>0</v>
      </c>
      <c r="N11" s="37" t="s">
        <v>12</v>
      </c>
      <c r="O11" s="37" t="s">
        <v>0</v>
      </c>
      <c r="P11" s="37" t="s">
        <v>0</v>
      </c>
      <c r="Q11" s="37" t="s">
        <v>0</v>
      </c>
      <c r="R11" s="37"/>
      <c r="S11" s="37" t="s">
        <v>12</v>
      </c>
      <c r="T11" s="37" t="s">
        <v>0</v>
      </c>
      <c r="U11" s="37" t="s">
        <v>0</v>
      </c>
      <c r="V11" s="37" t="s">
        <v>0</v>
      </c>
      <c r="W11" s="37" t="s">
        <v>12</v>
      </c>
      <c r="X11" s="37" t="s">
        <v>0</v>
      </c>
      <c r="Y11" s="37" t="s">
        <v>0</v>
      </c>
      <c r="Z11" s="37" t="s">
        <v>0</v>
      </c>
      <c r="AA11" s="37" t="s">
        <v>12</v>
      </c>
      <c r="AB11" s="37" t="s">
        <v>12</v>
      </c>
      <c r="AC11" s="37" t="s">
        <v>0</v>
      </c>
      <c r="AD11" s="37" t="s">
        <v>0</v>
      </c>
      <c r="AE11" s="37"/>
      <c r="AF11" s="37"/>
      <c r="AG11" s="37" t="s">
        <v>12</v>
      </c>
      <c r="AH11" s="37" t="s">
        <v>0</v>
      </c>
      <c r="AI11" s="33"/>
      <c r="AJ11" s="41"/>
      <c r="AK11" s="41"/>
      <c r="AL11" s="41"/>
      <c r="AM11" s="41"/>
      <c r="AN11" s="41"/>
    </row>
    <row r="12" spans="1:43" ht="18" customHeight="1">
      <c r="A12" s="35">
        <v>4</v>
      </c>
      <c r="B12" s="35">
        <v>4</v>
      </c>
      <c r="C12" s="42" t="s">
        <v>15</v>
      </c>
      <c r="D12" s="37" t="s">
        <v>12</v>
      </c>
      <c r="E12" s="37" t="s">
        <v>16</v>
      </c>
      <c r="F12" s="37" t="s">
        <v>17</v>
      </c>
      <c r="G12" s="38"/>
      <c r="H12" s="43"/>
      <c r="I12" s="37"/>
      <c r="J12" s="37" t="s">
        <v>17</v>
      </c>
      <c r="K12" s="37" t="s">
        <v>17</v>
      </c>
      <c r="L12" s="37" t="s">
        <v>17</v>
      </c>
      <c r="M12" s="37" t="s">
        <v>12</v>
      </c>
      <c r="N12" s="37"/>
      <c r="O12" s="37"/>
      <c r="P12" s="43" t="s">
        <v>12</v>
      </c>
      <c r="Q12" s="43" t="s">
        <v>0</v>
      </c>
      <c r="R12" s="43" t="s">
        <v>12</v>
      </c>
      <c r="S12" s="37" t="s">
        <v>0</v>
      </c>
      <c r="T12" s="37" t="s">
        <v>0</v>
      </c>
      <c r="U12" s="37"/>
      <c r="V12" s="37"/>
      <c r="W12" s="37" t="s">
        <v>12</v>
      </c>
      <c r="X12" s="37" t="s">
        <v>0</v>
      </c>
      <c r="Y12" s="37" t="s">
        <v>12</v>
      </c>
      <c r="Z12" s="37" t="s">
        <v>0</v>
      </c>
      <c r="AA12" s="37" t="s">
        <v>0</v>
      </c>
      <c r="AB12" s="37"/>
      <c r="AC12" s="37"/>
      <c r="AD12" s="37" t="s">
        <v>12</v>
      </c>
      <c r="AE12" s="37" t="s">
        <v>0</v>
      </c>
      <c r="AF12" s="37" t="s">
        <v>12</v>
      </c>
      <c r="AG12" s="37" t="s">
        <v>0</v>
      </c>
      <c r="AH12" s="45"/>
      <c r="AI12" s="33"/>
      <c r="AJ12" s="41"/>
      <c r="AK12" s="41"/>
      <c r="AL12" s="41"/>
      <c r="AM12" s="41"/>
      <c r="AN12" s="41"/>
    </row>
    <row r="13" spans="1:43" ht="18" customHeight="1">
      <c r="A13" s="35">
        <v>5</v>
      </c>
      <c r="B13" s="35">
        <v>5</v>
      </c>
      <c r="C13" s="42" t="s">
        <v>18</v>
      </c>
      <c r="D13" s="37"/>
      <c r="E13" s="37"/>
      <c r="F13" s="37"/>
      <c r="G13" s="37" t="s">
        <v>12</v>
      </c>
      <c r="H13" s="37" t="s">
        <v>0</v>
      </c>
      <c r="I13" s="37" t="s">
        <v>17</v>
      </c>
      <c r="J13" s="37" t="s">
        <v>12</v>
      </c>
      <c r="K13" s="37" t="s">
        <v>0</v>
      </c>
      <c r="L13" s="37"/>
      <c r="M13" s="37"/>
      <c r="N13" s="37" t="s">
        <v>12</v>
      </c>
      <c r="O13" s="37" t="s">
        <v>0</v>
      </c>
      <c r="P13" s="37" t="s">
        <v>0</v>
      </c>
      <c r="Q13" s="37" t="s">
        <v>12</v>
      </c>
      <c r="R13" s="37" t="s">
        <v>0</v>
      </c>
      <c r="S13" s="37"/>
      <c r="T13" s="37"/>
      <c r="U13" s="37" t="s">
        <v>0</v>
      </c>
      <c r="V13" s="37" t="s">
        <v>17</v>
      </c>
      <c r="W13" s="37" t="s">
        <v>12</v>
      </c>
      <c r="X13" s="37" t="s">
        <v>12</v>
      </c>
      <c r="Y13" s="37" t="s">
        <v>12</v>
      </c>
      <c r="Z13" s="37"/>
      <c r="AA13" s="37"/>
      <c r="AB13" s="37" t="s">
        <v>0</v>
      </c>
      <c r="AC13" s="37" t="s">
        <v>0</v>
      </c>
      <c r="AD13" s="37" t="s">
        <v>12</v>
      </c>
      <c r="AE13" s="37" t="s">
        <v>0</v>
      </c>
      <c r="AF13" s="37" t="s">
        <v>0</v>
      </c>
      <c r="AG13" s="37"/>
      <c r="AH13" s="37"/>
      <c r="AI13" s="33"/>
      <c r="AJ13" s="41"/>
      <c r="AK13" s="34"/>
      <c r="AL13" s="41"/>
      <c r="AM13" s="41"/>
      <c r="AN13" s="41"/>
    </row>
    <row r="14" spans="1:43" ht="18" customHeight="1">
      <c r="A14" s="35">
        <v>6</v>
      </c>
      <c r="B14" s="35">
        <v>6</v>
      </c>
      <c r="C14" s="42" t="s">
        <v>19</v>
      </c>
      <c r="D14" s="43" t="s">
        <v>12</v>
      </c>
      <c r="E14" s="37"/>
      <c r="F14" s="43" t="s">
        <v>0</v>
      </c>
      <c r="G14" s="37" t="s">
        <v>0</v>
      </c>
      <c r="H14" s="37" t="s">
        <v>12</v>
      </c>
      <c r="I14" s="37"/>
      <c r="J14" s="37"/>
      <c r="K14" s="37" t="s">
        <v>12</v>
      </c>
      <c r="L14" s="37" t="s">
        <v>0</v>
      </c>
      <c r="M14" s="37" t="s">
        <v>12</v>
      </c>
      <c r="N14" s="37" t="s">
        <v>0</v>
      </c>
      <c r="O14" s="37" t="s">
        <v>0</v>
      </c>
      <c r="P14" s="37"/>
      <c r="Q14" s="37"/>
      <c r="R14" s="37" t="s">
        <v>12</v>
      </c>
      <c r="S14" s="37" t="s">
        <v>12</v>
      </c>
      <c r="T14" s="37" t="s">
        <v>0</v>
      </c>
      <c r="U14" s="37" t="s">
        <v>0</v>
      </c>
      <c r="V14" s="37" t="s">
        <v>0</v>
      </c>
      <c r="W14" s="37"/>
      <c r="X14" s="37"/>
      <c r="Y14" s="37" t="s">
        <v>17</v>
      </c>
      <c r="Z14" s="37" t="s">
        <v>17</v>
      </c>
      <c r="AA14" s="37" t="s">
        <v>17</v>
      </c>
      <c r="AB14" s="37" t="s">
        <v>17</v>
      </c>
      <c r="AC14" s="37" t="s">
        <v>17</v>
      </c>
      <c r="AD14" s="43"/>
      <c r="AE14" s="37"/>
      <c r="AF14" s="37" t="s">
        <v>17</v>
      </c>
      <c r="AG14" s="37" t="s">
        <v>17</v>
      </c>
      <c r="AH14" s="45"/>
      <c r="AI14" s="33"/>
      <c r="AJ14" s="40"/>
      <c r="AK14" s="46"/>
      <c r="AL14" s="46"/>
      <c r="AM14" s="46"/>
      <c r="AN14" s="46"/>
    </row>
    <row r="15" spans="1:43" ht="18" customHeight="1">
      <c r="A15" s="35">
        <v>7</v>
      </c>
      <c r="B15" s="35">
        <v>7</v>
      </c>
      <c r="C15" s="42" t="s">
        <v>20</v>
      </c>
      <c r="D15" s="37" t="s">
        <v>17</v>
      </c>
      <c r="E15" s="37" t="s">
        <v>17</v>
      </c>
      <c r="F15" s="37" t="s">
        <v>17</v>
      </c>
      <c r="G15" s="37"/>
      <c r="H15" s="37"/>
      <c r="I15" s="37" t="s">
        <v>17</v>
      </c>
      <c r="J15" s="37" t="s">
        <v>12</v>
      </c>
      <c r="K15" s="43" t="s">
        <v>12</v>
      </c>
      <c r="L15" s="37" t="s">
        <v>0</v>
      </c>
      <c r="M15" s="37" t="s">
        <v>0</v>
      </c>
      <c r="N15" s="37"/>
      <c r="O15" s="37"/>
      <c r="P15" s="37" t="s">
        <v>12</v>
      </c>
      <c r="Q15" s="37" t="s">
        <v>12</v>
      </c>
      <c r="R15" s="37" t="s">
        <v>0</v>
      </c>
      <c r="S15" s="37" t="s">
        <v>0</v>
      </c>
      <c r="T15" s="37" t="s">
        <v>0</v>
      </c>
      <c r="U15" s="37"/>
      <c r="V15" s="37"/>
      <c r="W15" s="37" t="s">
        <v>12</v>
      </c>
      <c r="X15" s="37" t="s">
        <v>0</v>
      </c>
      <c r="Y15" s="37" t="s">
        <v>12</v>
      </c>
      <c r="Z15" s="37" t="s">
        <v>0</v>
      </c>
      <c r="AA15" s="37" t="s">
        <v>0</v>
      </c>
      <c r="AB15" s="43"/>
      <c r="AC15" s="43"/>
      <c r="AD15" s="43" t="s">
        <v>12</v>
      </c>
      <c r="AE15" s="37" t="s">
        <v>0</v>
      </c>
      <c r="AF15" s="37" t="s">
        <v>12</v>
      </c>
      <c r="AG15" s="37" t="s">
        <v>0</v>
      </c>
      <c r="AH15" s="37" t="s">
        <v>0</v>
      </c>
      <c r="AI15" s="33"/>
      <c r="AJ15" s="46"/>
      <c r="AK15" s="46"/>
      <c r="AL15" s="46"/>
      <c r="AM15" s="46"/>
      <c r="AN15" s="46"/>
    </row>
    <row r="16" spans="1:43" ht="18" customHeight="1">
      <c r="A16" s="35">
        <v>8</v>
      </c>
      <c r="B16" s="35">
        <v>8</v>
      </c>
      <c r="C16" s="42" t="s">
        <v>21</v>
      </c>
      <c r="D16" s="37"/>
      <c r="E16" s="43"/>
      <c r="F16" s="37" t="s">
        <v>12</v>
      </c>
      <c r="G16" s="37"/>
      <c r="H16" s="37" t="s">
        <v>12</v>
      </c>
      <c r="I16" s="37"/>
      <c r="J16" s="37"/>
      <c r="K16" s="37"/>
      <c r="L16" s="37"/>
      <c r="M16" s="37" t="s">
        <v>12</v>
      </c>
      <c r="N16" s="43"/>
      <c r="O16" s="43" t="s">
        <v>12</v>
      </c>
      <c r="P16" s="37"/>
      <c r="Q16" s="37"/>
      <c r="R16" s="37"/>
      <c r="S16" s="43"/>
      <c r="T16" s="37" t="s">
        <v>12</v>
      </c>
      <c r="U16" s="37"/>
      <c r="V16" s="37" t="s">
        <v>12</v>
      </c>
      <c r="W16" s="37"/>
      <c r="X16" s="37"/>
      <c r="Y16" s="37"/>
      <c r="Z16" s="37"/>
      <c r="AA16" s="37" t="s">
        <v>12</v>
      </c>
      <c r="AB16" s="37"/>
      <c r="AC16" s="37" t="s">
        <v>12</v>
      </c>
      <c r="AD16" s="37"/>
      <c r="AE16" s="37"/>
      <c r="AF16" s="37"/>
      <c r="AG16" s="37"/>
      <c r="AH16" s="37" t="s">
        <v>12</v>
      </c>
      <c r="AI16" s="33"/>
      <c r="AJ16" s="46"/>
      <c r="AK16" s="46"/>
      <c r="AL16" s="46"/>
      <c r="AM16" s="46"/>
      <c r="AN16" s="46"/>
    </row>
    <row r="17" spans="1:40" ht="18" customHeight="1">
      <c r="A17" s="35">
        <v>9</v>
      </c>
      <c r="B17" s="35">
        <v>9</v>
      </c>
      <c r="C17" s="42" t="s">
        <v>22</v>
      </c>
      <c r="D17" s="37"/>
      <c r="E17" s="37" t="s">
        <v>12</v>
      </c>
      <c r="F17" s="37"/>
      <c r="G17" s="37"/>
      <c r="H17" s="37"/>
      <c r="I17" s="37"/>
      <c r="J17" s="37" t="s">
        <v>12</v>
      </c>
      <c r="K17" s="37"/>
      <c r="L17" s="37" t="s">
        <v>12</v>
      </c>
      <c r="M17" s="37"/>
      <c r="N17" s="37"/>
      <c r="O17" s="37"/>
      <c r="P17" s="37"/>
      <c r="Q17" s="37" t="s">
        <v>12</v>
      </c>
      <c r="R17" s="37"/>
      <c r="S17" s="37" t="s">
        <v>12</v>
      </c>
      <c r="T17" s="37"/>
      <c r="U17" s="37"/>
      <c r="V17" s="37"/>
      <c r="W17" s="37"/>
      <c r="X17" s="37" t="s">
        <v>12</v>
      </c>
      <c r="Y17" s="37"/>
      <c r="Z17" s="37" t="s">
        <v>12</v>
      </c>
      <c r="AA17" s="37"/>
      <c r="AB17" s="37"/>
      <c r="AC17" s="37"/>
      <c r="AD17" s="37"/>
      <c r="AE17" s="37" t="s">
        <v>12</v>
      </c>
      <c r="AF17" s="37"/>
      <c r="AG17" s="37" t="s">
        <v>12</v>
      </c>
      <c r="AH17" s="45"/>
      <c r="AI17" s="33"/>
      <c r="AJ17" s="46"/>
      <c r="AK17" s="46"/>
      <c r="AL17" s="46"/>
      <c r="AM17" s="46"/>
      <c r="AN17" s="46"/>
    </row>
    <row r="18" spans="1:40" ht="18" customHeight="1">
      <c r="A18" s="35">
        <v>10</v>
      </c>
      <c r="B18" s="35">
        <v>10</v>
      </c>
      <c r="C18" s="42" t="s">
        <v>23</v>
      </c>
      <c r="D18" s="37"/>
      <c r="E18" s="37"/>
      <c r="F18" s="37"/>
      <c r="G18" s="37"/>
      <c r="H18" s="37" t="s">
        <v>12</v>
      </c>
      <c r="I18" s="37"/>
      <c r="J18" s="37" t="s">
        <v>12</v>
      </c>
      <c r="K18" s="37"/>
      <c r="L18" s="37"/>
      <c r="M18" s="37"/>
      <c r="N18" s="37"/>
      <c r="O18" s="37" t="s">
        <v>12</v>
      </c>
      <c r="P18" s="37"/>
      <c r="Q18" s="37" t="s">
        <v>12</v>
      </c>
      <c r="R18" s="37"/>
      <c r="S18" s="37"/>
      <c r="T18" s="37"/>
      <c r="U18" s="37"/>
      <c r="V18" s="37" t="s">
        <v>12</v>
      </c>
      <c r="W18" s="37"/>
      <c r="X18" s="37" t="s">
        <v>12</v>
      </c>
      <c r="Y18" s="37"/>
      <c r="Z18" s="37"/>
      <c r="AA18" s="37"/>
      <c r="AB18" s="37"/>
      <c r="AC18" s="37" t="s">
        <v>12</v>
      </c>
      <c r="AD18" s="37"/>
      <c r="AE18" s="37" t="s">
        <v>12</v>
      </c>
      <c r="AF18" s="37"/>
      <c r="AG18" s="37"/>
      <c r="AH18" s="37"/>
      <c r="AI18" s="33"/>
      <c r="AJ18" s="46"/>
      <c r="AK18" s="46"/>
      <c r="AL18" s="46"/>
      <c r="AM18" s="46"/>
      <c r="AN18" s="46"/>
    </row>
    <row r="19" spans="1:40" ht="18" customHeight="1">
      <c r="A19" s="35">
        <v>11</v>
      </c>
      <c r="B19" s="35">
        <v>11</v>
      </c>
      <c r="C19" s="42" t="s">
        <v>24</v>
      </c>
      <c r="D19" s="37"/>
      <c r="E19" s="37" t="s">
        <v>12</v>
      </c>
      <c r="F19" s="37"/>
      <c r="G19" s="37" t="s">
        <v>12</v>
      </c>
      <c r="H19" s="37"/>
      <c r="I19" s="37"/>
      <c r="J19" s="37"/>
      <c r="K19" s="37"/>
      <c r="L19" s="38" t="s">
        <v>12</v>
      </c>
      <c r="M19" s="37"/>
      <c r="N19" s="37" t="s">
        <v>12</v>
      </c>
      <c r="O19" s="37"/>
      <c r="P19" s="37"/>
      <c r="Q19" s="37"/>
      <c r="R19" s="37"/>
      <c r="S19" s="37" t="s">
        <v>12</v>
      </c>
      <c r="T19" s="37"/>
      <c r="U19" s="37" t="s">
        <v>12</v>
      </c>
      <c r="V19" s="37"/>
      <c r="W19" s="37"/>
      <c r="X19" s="37"/>
      <c r="Y19" s="37"/>
      <c r="Z19" s="37" t="s">
        <v>12</v>
      </c>
      <c r="AA19" s="37"/>
      <c r="AB19" s="37" t="s">
        <v>12</v>
      </c>
      <c r="AC19" s="37"/>
      <c r="AD19" s="37"/>
      <c r="AE19" s="37"/>
      <c r="AF19" s="37"/>
      <c r="AG19" s="37" t="s">
        <v>12</v>
      </c>
      <c r="AH19" s="45"/>
      <c r="AI19" s="33"/>
      <c r="AJ19" s="46"/>
      <c r="AK19" s="46"/>
      <c r="AL19" s="46"/>
      <c r="AM19" s="46"/>
      <c r="AN19" s="46"/>
    </row>
    <row r="20" spans="1:40" ht="18" customHeight="1">
      <c r="A20" s="35">
        <v>12</v>
      </c>
      <c r="B20" s="35">
        <v>12</v>
      </c>
      <c r="C20" s="42" t="s">
        <v>25</v>
      </c>
      <c r="D20" s="47"/>
      <c r="E20" s="47" t="s">
        <v>12</v>
      </c>
      <c r="F20" s="47"/>
      <c r="G20" s="47"/>
      <c r="H20" s="47"/>
      <c r="I20" s="47"/>
      <c r="J20" s="47" t="s">
        <v>12</v>
      </c>
      <c r="K20" s="47"/>
      <c r="L20" s="47" t="s">
        <v>12</v>
      </c>
      <c r="M20" s="47"/>
      <c r="N20" s="47"/>
      <c r="O20" s="47"/>
      <c r="P20" s="47"/>
      <c r="Q20" s="47" t="s">
        <v>12</v>
      </c>
      <c r="R20" s="47"/>
      <c r="S20" s="47" t="s">
        <v>12</v>
      </c>
      <c r="T20" s="47"/>
      <c r="U20" s="47"/>
      <c r="V20" s="47"/>
      <c r="W20" s="47"/>
      <c r="X20" s="47" t="s">
        <v>12</v>
      </c>
      <c r="Y20" s="47"/>
      <c r="Z20" s="47" t="s">
        <v>12</v>
      </c>
      <c r="AA20" s="47"/>
      <c r="AB20" s="47"/>
      <c r="AC20" s="47"/>
      <c r="AD20" s="47"/>
      <c r="AE20" s="47" t="s">
        <v>12</v>
      </c>
      <c r="AF20" s="47"/>
      <c r="AG20" s="47" t="s">
        <v>12</v>
      </c>
      <c r="AH20" s="47"/>
      <c r="AI20" s="33"/>
      <c r="AJ20" s="46"/>
      <c r="AK20" s="46"/>
      <c r="AL20" s="46"/>
      <c r="AM20" s="46"/>
      <c r="AN20" s="46"/>
    </row>
    <row r="21" spans="1:40" ht="18" customHeight="1">
      <c r="A21" s="35"/>
      <c r="B21" s="35"/>
      <c r="C21" s="48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33"/>
      <c r="AJ21" s="46"/>
      <c r="AK21" s="46"/>
      <c r="AL21" s="46"/>
      <c r="AM21" s="46"/>
      <c r="AN21" s="46"/>
    </row>
    <row r="22" spans="1:40" ht="15" customHeight="1">
      <c r="C22" s="50"/>
      <c r="D22" s="51" t="str">
        <f>IF(ISBLANK([1]Tipologie!$B15),"",[1]Tipologie!$B15)</f>
        <v>P</v>
      </c>
      <c r="E22" s="52"/>
      <c r="F22" s="51" t="str">
        <f>IF(ISBLANK([1]Tipologie!$B16),"",[1]Tipologie!$B16)</f>
        <v>Fp</v>
      </c>
      <c r="G22" s="52"/>
      <c r="H22" s="51" t="str">
        <f>IF(ISBLANK([1]Tipologie!$B17),"",[1]Tipologie!$B17)</f>
        <v>Fc</v>
      </c>
      <c r="I22" s="52"/>
      <c r="J22" s="53" t="str">
        <f>IF(ISBLANK([1]Tipologie!$B18),"",[1]Tipologie!$B18)</f>
        <v>PB</v>
      </c>
      <c r="K22" s="54"/>
      <c r="L22" s="53" t="str">
        <f>IF(ISBLANK([1]Tipologie!$B19),"",[1]Tipologie!$B19)</f>
        <v>M</v>
      </c>
      <c r="M22" s="54"/>
      <c r="N22" s="53" t="str">
        <f>IF(ISBLANK([1]Tipologie!$B20),"",[1]Tipologie!$B20)</f>
        <v>SW</v>
      </c>
      <c r="O22" s="54"/>
      <c r="P22" s="53" t="str">
        <f>IF(ISBLANK([1]Tipologie!$B21),"",[1]Tipologie!$B21)</f>
        <v>C</v>
      </c>
      <c r="Q22" s="54"/>
      <c r="R22" s="53" t="str">
        <f>IF(ISBLANK([1]Tipologie!$B22),"",[1]Tipologie!$B22)</f>
        <v>A41</v>
      </c>
      <c r="S22" s="54"/>
      <c r="T22" s="53" t="str">
        <f>IF(ISBLANK([1]Tipologie!$B23),"",[1]Tipologie!$B23)</f>
        <v>A44</v>
      </c>
      <c r="U22" s="54"/>
      <c r="V22" s="53" t="str">
        <f>IF(ISBLANK([1]Tipologie!$B24),"",[1]Tipologie!$B24)</f>
        <v>RC</v>
      </c>
      <c r="W22" s="54"/>
      <c r="X22" s="53" t="str">
        <f>IF(ISBLANK([1]Tipologie!$B25),"",[1]Tipologie!$B25)</f>
        <v>DA</v>
      </c>
      <c r="Y22" s="54"/>
      <c r="Z22" s="53" t="str">
        <f>IF(ISBLANK([1]Tipologie!$B26),"",[1]Tipologie!$B26)</f>
        <v>DS</v>
      </c>
      <c r="AA22" s="54"/>
      <c r="AB22" s="53" t="str">
        <f>IF(ISBLANK([1]Tipologie!$B27),"",[1]Tipologie!$B27)</f>
        <v>PE</v>
      </c>
      <c r="AC22" s="54"/>
      <c r="AD22" s="53" t="str">
        <f>IF(ISBLANK([1]Tipologie!$B28),"",[1]Tipologie!$B28)</f>
        <v>PL</v>
      </c>
      <c r="AE22" s="54"/>
      <c r="AF22" s="53" t="str">
        <f>IF(ISBLANK([1]Tipologie!$B29),"",[1]Tipologie!$B29)</f>
        <v>PS</v>
      </c>
      <c r="AG22" s="54"/>
      <c r="AH22" s="53" t="str">
        <f>IF(ISBLANK([1]Tipologie!$B30),"",[1]Tipologie!$B30)</f>
        <v>MP</v>
      </c>
      <c r="AI22" s="54"/>
    </row>
    <row r="23" spans="1:40" ht="62.1" customHeight="1">
      <c r="C23" s="50"/>
      <c r="D23" s="55" t="str">
        <f>IF(ISBLANK([1]Tipologie!$C15),"",[1]Tipologie!$C15)</f>
        <v>Presenza in Servizio</v>
      </c>
      <c r="E23" s="56"/>
      <c r="F23" s="55" t="str">
        <f>IF(ISBLANK([1]Tipologie!$C16),"",[1]Tipologie!$C16)</f>
        <v>Ferie Anno Prec.</v>
      </c>
      <c r="G23" s="56"/>
      <c r="H23" s="55" t="str">
        <f>IF(ISBLANK([1]Tipologie!$C17),"",[1]Tipologie!$C17)</f>
        <v>Ferie Anno Corr.</v>
      </c>
      <c r="I23" s="56"/>
      <c r="J23" s="55" t="str">
        <f>IF(ISBLANK([1]Tipologie!$C18),"",[1]Tipologie!$C18)</f>
        <v>Punti B  Festività soppresse</v>
      </c>
      <c r="K23" s="56"/>
      <c r="L23" s="55" t="str">
        <f>IF(ISBLANK([1]Tipologie!$C19),"",[1]Tipologie!$C19)</f>
        <v>Malattia</v>
      </c>
      <c r="M23" s="56"/>
      <c r="N23" s="55" t="str">
        <f>IF(ISBLANK([1]Tipologie!$C20),"",[1]Tipologie!$C20)</f>
        <v>Smart Working</v>
      </c>
      <c r="O23" s="56"/>
      <c r="P23" s="55" t="str">
        <f>IF(ISBLANK([1]Tipologie!$C21),"",[1]Tipologie!$C21)</f>
        <v>Covid</v>
      </c>
      <c r="Q23" s="56"/>
      <c r="R23" s="55" t="str">
        <f>IF(ISBLANK([1]Tipologie!$C22),"",[1]Tipologie!$C22)</f>
        <v>Art. 41 Permessi Personali</v>
      </c>
      <c r="S23" s="56"/>
      <c r="T23" s="55" t="str">
        <f>IF(ISBLANK([1]Tipologie!$C23),"",[1]Tipologie!$C23)</f>
        <v>Art. 44 Visite Mediche</v>
      </c>
      <c r="U23" s="56"/>
      <c r="V23" s="55" t="str">
        <f>IF(ISBLANK([1]Tipologie!$C24),"",[1]Tipologie!$C24)</f>
        <v>Riposo Comp.</v>
      </c>
      <c r="W23" s="56"/>
      <c r="X23" s="55" t="str">
        <f>IF(ISBLANK([1]Tipologie!$C25),"",[1]Tipologie!$C25)</f>
        <v>Donazione Avis</v>
      </c>
      <c r="Y23" s="56"/>
      <c r="Z23" s="55" t="str">
        <f>IF(ISBLANK([1]Tipologie!$C26),"",[1]Tipologie!$C26)</f>
        <v>art. 46 Diritto Studio</v>
      </c>
      <c r="AA23" s="56"/>
      <c r="AB23" s="55" t="str">
        <f>IF(ISBLANK([1]Tipologie!$C27),"",[1]Tipologie!$C27)</f>
        <v>art. 40 Permesso Esame</v>
      </c>
      <c r="AC23" s="56"/>
      <c r="AD23" s="55" t="str">
        <f>IF(ISBLANK([1]Tipologie!$C28),"",[1]Tipologie!$C28)</f>
        <v>Permesso L. 104</v>
      </c>
      <c r="AE23" s="56"/>
      <c r="AF23" s="55" t="str">
        <f>IF(ISBLANK([1]Tipologie!$C29),"",[1]Tipologie!$C29)</f>
        <v>Permesso Sindacale</v>
      </c>
      <c r="AG23" s="56"/>
      <c r="AH23" s="55" t="str">
        <f>IF(ISBLANK([1]Tipologie!$C30),"",[1]Tipologie!$C30)</f>
        <v>Motivi personali</v>
      </c>
      <c r="AI23" s="56"/>
    </row>
    <row r="24" spans="1:40" ht="18" customHeight="1">
      <c r="C24" s="57" t="s">
        <v>11</v>
      </c>
      <c r="D24" s="58">
        <f>IF(ISBLANK([1]Tipologie!$B$15),"",COUNTIF(D9:AH9,[1]Tipologie!$B$15))</f>
        <v>12</v>
      </c>
      <c r="E24" s="59"/>
      <c r="F24" s="58">
        <f>IF(ISBLANK([1]Tipologie!$B$16),"",COUNTIF(D9:AH9,[1]Tipologie!$B$16))</f>
        <v>0</v>
      </c>
      <c r="G24" s="58"/>
      <c r="H24" s="58">
        <f>IF(ISBLANK([1]Tipologie!$B$17),"",COUNTIF(D9:AH9,[1]Tipologie!$B$17))</f>
        <v>0</v>
      </c>
      <c r="I24" s="59"/>
      <c r="J24" s="60">
        <f>IF(ISBLANK([1]Tipologie!$B$18),"",COUNTIF(D9:AH9,[1]Tipologie!$B$18))</f>
        <v>0</v>
      </c>
      <c r="K24" s="60"/>
      <c r="L24" s="61">
        <f>IF(ISBLANK([1]Tipologie!$B$19),"",COUNTIF(D9:AH9,[1]Tipologie!$B$19))</f>
        <v>0</v>
      </c>
      <c r="M24" s="61"/>
      <c r="N24" s="60">
        <f>IF(ISBLANK([1]Tipologie!$B$20),"",COUNTIF(D9:AH9,[1]Tipologie!$B$20))</f>
        <v>8</v>
      </c>
      <c r="O24" s="60"/>
      <c r="P24" s="61">
        <f>IF(ISBLANK([1]Tipologie!$B$21),"",COUNTIF(D9:AH9,[1]Tipologie!$B$21))</f>
        <v>0</v>
      </c>
      <c r="Q24" s="61"/>
      <c r="R24" s="60">
        <f>IF(ISBLANK([1]Tipologie!$B$22),"",COUNTIF(D9:AH9,[1]Tipologie!$B$22))</f>
        <v>0</v>
      </c>
      <c r="S24" s="60"/>
      <c r="T24" s="62">
        <f>IF(ISBLANK([1]Tipologie!$B$23),"",COUNTIF(D9:AH9,[1]Tipologie!$B$23))</f>
        <v>0</v>
      </c>
      <c r="U24" s="62"/>
      <c r="V24" s="60">
        <f>IF(ISBLANK([1]Tipologie!$B$24),"",COUNTIF(D9:AH9,[1]Tipologie!$B$24))</f>
        <v>0</v>
      </c>
      <c r="W24" s="60"/>
      <c r="X24" s="62">
        <f>IF(ISBLANK([1]Tipologie!$B$25),"",COUNTIF(D9:AH9,[1]Tipologie!$B$25))</f>
        <v>0</v>
      </c>
      <c r="Y24" s="62"/>
      <c r="Z24" s="60">
        <f>IF(ISBLANK([1]Tipologie!$B$26),"",COUNTIF(D9:AH9,[1]Tipologie!$B$26))</f>
        <v>0</v>
      </c>
      <c r="AA24" s="60"/>
      <c r="AB24" s="63">
        <f>IF(ISBLANK([1]Tipologie!$B$27),"",COUNTIF(D9:AH9,[1]Tipologie!$B$27))</f>
        <v>0</v>
      </c>
      <c r="AC24" s="63"/>
      <c r="AD24" s="60">
        <f>IF(ISBLANK([1]Tipologie!$B$28),"",COUNTIF(D9:AH9,[1]Tipologie!$B$28))</f>
        <v>0</v>
      </c>
      <c r="AE24" s="60"/>
      <c r="AF24" s="63">
        <f>IF(ISBLANK([1]Tipologie!$B$29),"",COUNTIF(D9:AH9,[1]Tipologie!$B$29))</f>
        <v>0</v>
      </c>
      <c r="AG24" s="63"/>
      <c r="AH24" s="60">
        <f>IF(ISBLANK([1]Tipologie!$B$30),"",COUNTIF(D9:AH9,[1]Tipologie!$B$30))</f>
        <v>0</v>
      </c>
      <c r="AI24" s="60"/>
    </row>
    <row r="25" spans="1:40" ht="18" customHeight="1">
      <c r="C25" s="64" t="s">
        <v>13</v>
      </c>
      <c r="D25" s="58">
        <f>IF(ISBLANK([1]Tipologie!$B$15),"",COUNTIF(D10:AH10,[1]Tipologie!$B$15))</f>
        <v>12</v>
      </c>
      <c r="E25" s="59"/>
      <c r="F25" s="58">
        <f>IF(ISBLANK([1]Tipologie!$B$16),"",COUNTIF(D10:AH10,[1]Tipologie!$B$16))</f>
        <v>0</v>
      </c>
      <c r="G25" s="58"/>
      <c r="H25" s="58">
        <f>IF(ISBLANK([1]Tipologie!$B$17),"",COUNTIF(D10:AH10,[1]Tipologie!$B$17))</f>
        <v>0</v>
      </c>
      <c r="I25" s="59"/>
      <c r="J25" s="60">
        <f>IF(ISBLANK([1]Tipologie!$B$18),"",COUNTIF(D10:AH10,[1]Tipologie!$B$18))</f>
        <v>0</v>
      </c>
      <c r="K25" s="60"/>
      <c r="L25" s="61">
        <f>IF(ISBLANK([1]Tipologie!$B$19),"",COUNTIF(D10:AH10,[1]Tipologie!$B$19))</f>
        <v>0</v>
      </c>
      <c r="M25" s="61"/>
      <c r="N25" s="60">
        <f>IF(ISBLANK([1]Tipologie!$B$20),"",COUNTIF(D10:AH10,[1]Tipologie!$B$20))</f>
        <v>8</v>
      </c>
      <c r="O25" s="60"/>
      <c r="P25" s="61">
        <f>IF(ISBLANK([1]Tipologie!$B$21),"",COUNTIF(D10:AH10,[1]Tipologie!$B$21))</f>
        <v>0</v>
      </c>
      <c r="Q25" s="61"/>
      <c r="R25" s="60">
        <f>IF(ISBLANK([1]Tipologie!$B$22),"",COUNTIF(D10:AH10,[1]Tipologie!$B$22))</f>
        <v>0</v>
      </c>
      <c r="S25" s="60"/>
      <c r="T25" s="62">
        <f>IF(ISBLANK([1]Tipologie!$B$23),"",COUNTIF(D10:AH10,[1]Tipologie!$B$23))</f>
        <v>0</v>
      </c>
      <c r="U25" s="62"/>
      <c r="V25" s="60">
        <f>IF(ISBLANK([1]Tipologie!$B$24),"",COUNTIF(D10:AH10,[1]Tipologie!$B$24))</f>
        <v>0</v>
      </c>
      <c r="W25" s="60"/>
      <c r="X25" s="62">
        <f>IF(ISBLANK([1]Tipologie!$B$25),"",COUNTIF(D10:AH10,[1]Tipologie!$B$25))</f>
        <v>0</v>
      </c>
      <c r="Y25" s="62"/>
      <c r="Z25" s="60">
        <f>IF(ISBLANK([1]Tipologie!$B$26),"",COUNTIF(D10:AH10,[1]Tipologie!$B$26))</f>
        <v>0</v>
      </c>
      <c r="AA25" s="60"/>
      <c r="AB25" s="63">
        <f>IF(ISBLANK([1]Tipologie!$B$27),"",COUNTIF(D10:AH10,[1]Tipologie!$B$27))</f>
        <v>0</v>
      </c>
      <c r="AC25" s="63"/>
      <c r="AD25" s="60">
        <f>IF(ISBLANK([1]Tipologie!$B$28),"",COUNTIF(D10:AH10,[1]Tipologie!$B$28))</f>
        <v>0</v>
      </c>
      <c r="AE25" s="60"/>
      <c r="AF25" s="63">
        <f>IF(ISBLANK([1]Tipologie!$B$29),"",COUNTIF(D10:AH10,[1]Tipologie!$B$29))</f>
        <v>0</v>
      </c>
      <c r="AG25" s="63"/>
      <c r="AH25" s="60">
        <f>IF(ISBLANK([1]Tipologie!$B$30),"",COUNTIF(D10:AH10,[1]Tipologie!$B$30))</f>
        <v>0</v>
      </c>
      <c r="AI25" s="60"/>
    </row>
    <row r="26" spans="1:40" ht="18" customHeight="1">
      <c r="C26" s="64" t="s">
        <v>14</v>
      </c>
      <c r="D26" s="58">
        <f>IF(ISBLANK([1]Tipologie!$B$15),"",COUNTIF(D11:AH11,[1]Tipologie!$B$15))</f>
        <v>16</v>
      </c>
      <c r="E26" s="59"/>
      <c r="F26" s="58">
        <f>IF(ISBLANK([1]Tipologie!$B$16),"",COUNTIF(D11:AH11,[1]Tipologie!$B$16))</f>
        <v>0</v>
      </c>
      <c r="G26" s="58"/>
      <c r="H26" s="58">
        <f>IF(ISBLANK([1]Tipologie!$B$17),"",COUNTIF(D11:AH11,[1]Tipologie!$B$17))</f>
        <v>0</v>
      </c>
      <c r="I26" s="59"/>
      <c r="J26" s="60">
        <f>IF(ISBLANK([1]Tipologie!$B$18),"",COUNTIF(D11:AH11,[1]Tipologie!$B$18))</f>
        <v>0</v>
      </c>
      <c r="K26" s="60"/>
      <c r="L26" s="61">
        <f>IF(ISBLANK([1]Tipologie!$B$19),"",COUNTIF(D11:AH11,[1]Tipologie!$B$19))</f>
        <v>0</v>
      </c>
      <c r="M26" s="61"/>
      <c r="N26" s="60">
        <f>IF(ISBLANK([1]Tipologie!$B$20),"",COUNTIF(D11:AH11,[1]Tipologie!$B$20))</f>
        <v>9</v>
      </c>
      <c r="O26" s="60"/>
      <c r="P26" s="61">
        <f>IF(ISBLANK([1]Tipologie!$B$21),"",COUNTIF(D11:AH11,[1]Tipologie!$B$21))</f>
        <v>0</v>
      </c>
      <c r="Q26" s="61"/>
      <c r="R26" s="60">
        <f>IF(ISBLANK([1]Tipologie!$B$22),"",COUNTIF(D11:AH11,[1]Tipologie!$B$22))</f>
        <v>0</v>
      </c>
      <c r="S26" s="60"/>
      <c r="T26" s="62">
        <f>IF(ISBLANK([1]Tipologie!$B$23),"",COUNTIF(D11:AH11,[1]Tipologie!$B$23))</f>
        <v>0</v>
      </c>
      <c r="U26" s="62"/>
      <c r="V26" s="60">
        <f>IF(ISBLANK([1]Tipologie!$B$24),"",COUNTIF(D11:AH11,[1]Tipologie!$B$24))</f>
        <v>0</v>
      </c>
      <c r="W26" s="60"/>
      <c r="X26" s="62">
        <f>IF(ISBLANK([1]Tipologie!$B$25),"",COUNTIF(D11:AH11,[1]Tipologie!$B$25))</f>
        <v>0</v>
      </c>
      <c r="Y26" s="62"/>
      <c r="Z26" s="60">
        <f>IF(ISBLANK([1]Tipologie!$B$26),"",COUNTIF(D11:AH11,[1]Tipologie!$B$26))</f>
        <v>0</v>
      </c>
      <c r="AA26" s="60"/>
      <c r="AB26" s="63">
        <f>IF(ISBLANK([1]Tipologie!$B$27),"",COUNTIF(D11:AH11,[1]Tipologie!$B$27))</f>
        <v>0</v>
      </c>
      <c r="AC26" s="63"/>
      <c r="AD26" s="60">
        <f>IF(ISBLANK([1]Tipologie!$B$28),"",COUNTIF(D11:AH11,[1]Tipologie!$B$28))</f>
        <v>0</v>
      </c>
      <c r="AE26" s="60"/>
      <c r="AF26" s="63">
        <f>IF(ISBLANK([1]Tipologie!$B$29),"",COUNTIF(D11:AH11,[1]Tipologie!$B$29))</f>
        <v>0</v>
      </c>
      <c r="AG26" s="63"/>
      <c r="AH26" s="60">
        <f>IF(ISBLANK([1]Tipologie!$B$30),"",COUNTIF(D11:AH11,[1]Tipologie!$B$30))</f>
        <v>0</v>
      </c>
      <c r="AI26" s="60"/>
    </row>
    <row r="27" spans="1:40" ht="18" customHeight="1">
      <c r="C27" s="64" t="s">
        <v>15</v>
      </c>
      <c r="D27" s="58">
        <f>IF(ISBLANK([1]Tipologie!$B$15),"",COUNTIF(D12:AH12,[1]Tipologie!$B$15))</f>
        <v>8</v>
      </c>
      <c r="E27" s="59"/>
      <c r="F27" s="58">
        <f>IF(ISBLANK([1]Tipologie!$B$16),"",COUNTIF(D12:AH12,[1]Tipologie!$B$16))</f>
        <v>4</v>
      </c>
      <c r="G27" s="58"/>
      <c r="H27" s="58">
        <f>IF(ISBLANK([1]Tipologie!$B$17),"",COUNTIF(D12:AH12,[1]Tipologie!$B$17))</f>
        <v>0</v>
      </c>
      <c r="I27" s="59"/>
      <c r="J27" s="60">
        <f>IF(ISBLANK([1]Tipologie!$B$18),"",COUNTIF(D12:AH12,[1]Tipologie!$B$18))</f>
        <v>0</v>
      </c>
      <c r="K27" s="60"/>
      <c r="L27" s="61">
        <f>IF(ISBLANK([1]Tipologie!$B$19),"",COUNTIF(D12:AH12,[1]Tipologie!$B$19))</f>
        <v>0</v>
      </c>
      <c r="M27" s="61"/>
      <c r="N27" s="60">
        <f>IF(ISBLANK([1]Tipologie!$B$20),"",COUNTIF(D12:AH12,[1]Tipologie!$B$20))</f>
        <v>8</v>
      </c>
      <c r="O27" s="60"/>
      <c r="P27" s="61">
        <f>IF(ISBLANK([1]Tipologie!$B$21),"",COUNTIF(D12:AH12,[1]Tipologie!$B$21))</f>
        <v>0</v>
      </c>
      <c r="Q27" s="61"/>
      <c r="R27" s="60">
        <f>IF(ISBLANK([1]Tipologie!$B$22),"",COUNTIF(D12:AH12,[1]Tipologie!$B$22))</f>
        <v>0</v>
      </c>
      <c r="S27" s="60"/>
      <c r="T27" s="62">
        <f>IF(ISBLANK([1]Tipologie!$B$23),"",COUNTIF(D12:AH12,[1]Tipologie!$B$23))</f>
        <v>0</v>
      </c>
      <c r="U27" s="62"/>
      <c r="V27" s="60">
        <f>IF(ISBLANK([1]Tipologie!$B$24),"",COUNTIF(D12:AH12,[1]Tipologie!$B$24))</f>
        <v>1</v>
      </c>
      <c r="W27" s="60"/>
      <c r="X27" s="62">
        <f>IF(ISBLANK([1]Tipologie!$B$25),"",COUNTIF(D12:AH12,[1]Tipologie!$B$25))</f>
        <v>0</v>
      </c>
      <c r="Y27" s="62"/>
      <c r="Z27" s="60">
        <f>IF(ISBLANK([1]Tipologie!$B$26),"",COUNTIF(D12:AH12,[1]Tipologie!$B$26))</f>
        <v>0</v>
      </c>
      <c r="AA27" s="60"/>
      <c r="AB27" s="63">
        <f>IF(ISBLANK([1]Tipologie!$B$27),"",COUNTIF(D12:AH12,[1]Tipologie!$B$27))</f>
        <v>0</v>
      </c>
      <c r="AC27" s="63"/>
      <c r="AD27" s="60">
        <f>IF(ISBLANK([1]Tipologie!$B$28),"",COUNTIF(D12:AH12,[1]Tipologie!$B$28))</f>
        <v>0</v>
      </c>
      <c r="AE27" s="60"/>
      <c r="AF27" s="63">
        <f>IF(ISBLANK([1]Tipologie!$B$29),"",COUNTIF(D12:AH12,[1]Tipologie!$B$29))</f>
        <v>0</v>
      </c>
      <c r="AG27" s="63"/>
      <c r="AH27" s="60">
        <f>IF(ISBLANK([1]Tipologie!$B$30),"",COUNTIF(D12:AH12,[1]Tipologie!$B$30))</f>
        <v>0</v>
      </c>
      <c r="AI27" s="60"/>
    </row>
    <row r="28" spans="1:40" ht="18" customHeight="1">
      <c r="C28" s="64" t="s">
        <v>18</v>
      </c>
      <c r="D28" s="58">
        <f>IF(ISBLANK([1]Tipologie!$B$15),"",COUNTIF(D13:AH13,[1]Tipologie!$B$15))</f>
        <v>10</v>
      </c>
      <c r="E28" s="59"/>
      <c r="F28" s="58">
        <f>IF(ISBLANK([1]Tipologie!$B$16),"",COUNTIF(D13:AH13,[1]Tipologie!$B$16))</f>
        <v>2</v>
      </c>
      <c r="G28" s="58"/>
      <c r="H28" s="58">
        <f>IF(ISBLANK([1]Tipologie!$B$17),"",COUNTIF(D13:AH13,[1]Tipologie!$B$17))</f>
        <v>0</v>
      </c>
      <c r="I28" s="59"/>
      <c r="J28" s="60">
        <f>IF(ISBLANK([1]Tipologie!$B$18),"",COUNTIF(D13:AH13,[1]Tipologie!$B$18))</f>
        <v>0</v>
      </c>
      <c r="K28" s="60"/>
      <c r="L28" s="61">
        <f>IF(ISBLANK([1]Tipologie!$B$19),"",COUNTIF(D13:AH13,[1]Tipologie!$B$19))</f>
        <v>0</v>
      </c>
      <c r="M28" s="61"/>
      <c r="N28" s="60">
        <f>IF(ISBLANK([1]Tipologie!$B$20),"",COUNTIF(D13:AH13,[1]Tipologie!$B$20))</f>
        <v>8</v>
      </c>
      <c r="O28" s="60"/>
      <c r="P28" s="61">
        <f>IF(ISBLANK([1]Tipologie!$B$21),"",COUNTIF(D13:AH13,[1]Tipologie!$B$21))</f>
        <v>0</v>
      </c>
      <c r="Q28" s="61"/>
      <c r="R28" s="60">
        <f>IF(ISBLANK([1]Tipologie!$B$22),"",COUNTIF(D13:AH13,[1]Tipologie!$B$22))</f>
        <v>0</v>
      </c>
      <c r="S28" s="60"/>
      <c r="T28" s="62">
        <f>IF(ISBLANK([1]Tipologie!$B$23),"",COUNTIF(D13:AH13,[1]Tipologie!$B$23))</f>
        <v>0</v>
      </c>
      <c r="U28" s="62"/>
      <c r="V28" s="60">
        <f>IF(ISBLANK([1]Tipologie!$B$24),"",COUNTIF(D13:AH13,[1]Tipologie!$B$24))</f>
        <v>0</v>
      </c>
      <c r="W28" s="60"/>
      <c r="X28" s="62">
        <f>IF(ISBLANK([1]Tipologie!$B$25),"",COUNTIF(D13:AH13,[1]Tipologie!$B$25))</f>
        <v>0</v>
      </c>
      <c r="Y28" s="62"/>
      <c r="Z28" s="60">
        <f>IF(ISBLANK([1]Tipologie!$B$26),"",COUNTIF(D13:AH13,[1]Tipologie!$B$26))</f>
        <v>0</v>
      </c>
      <c r="AA28" s="60"/>
      <c r="AB28" s="63">
        <f>IF(ISBLANK([1]Tipologie!$B$27),"",COUNTIF(D13:AH13,[1]Tipologie!$B$27))</f>
        <v>0</v>
      </c>
      <c r="AC28" s="63"/>
      <c r="AD28" s="60">
        <f>IF(ISBLANK([1]Tipologie!$B$28),"",COUNTIF(D13:AH13,[1]Tipologie!$B$28))</f>
        <v>0</v>
      </c>
      <c r="AE28" s="60"/>
      <c r="AF28" s="63">
        <f>IF(ISBLANK([1]Tipologie!$B$29),"",COUNTIF(D13:AH13,[1]Tipologie!$B$29))</f>
        <v>0</v>
      </c>
      <c r="AG28" s="63"/>
      <c r="AH28" s="60">
        <f>IF(ISBLANK([1]Tipologie!$B$30),"",COUNTIF(D13:AH13,[1]Tipologie!$B$30))</f>
        <v>0</v>
      </c>
      <c r="AI28" s="60"/>
    </row>
    <row r="29" spans="1:40" ht="18" customHeight="1">
      <c r="C29" s="64" t="s">
        <v>19</v>
      </c>
      <c r="D29" s="58">
        <f>IF(ISBLANK([1]Tipologie!$B$15),"",COUNTIF(D14:AH14,[1]Tipologie!$B$15))</f>
        <v>8</v>
      </c>
      <c r="E29" s="59"/>
      <c r="F29" s="58">
        <f>IF(ISBLANK([1]Tipologie!$B$16),"",COUNTIF(D14:AH14,[1]Tipologie!$B$16))</f>
        <v>7</v>
      </c>
      <c r="G29" s="58"/>
      <c r="H29" s="58">
        <f>IF(ISBLANK([1]Tipologie!$B$17),"",COUNTIF(D14:AH14,[1]Tipologie!$B$17))</f>
        <v>0</v>
      </c>
      <c r="I29" s="59"/>
      <c r="J29" s="60">
        <f>IF(ISBLANK([1]Tipologie!$B$18),"",COUNTIF(D14:AH14,[1]Tipologie!$B$18))</f>
        <v>0</v>
      </c>
      <c r="K29" s="60"/>
      <c r="L29" s="61">
        <f>IF(ISBLANK([1]Tipologie!$B$19),"",COUNTIF(D14:AH14,[1]Tipologie!$B$19))</f>
        <v>0</v>
      </c>
      <c r="M29" s="61"/>
      <c r="N29" s="60">
        <f>IF(ISBLANK([1]Tipologie!$B$20),"",COUNTIF(D14:AH14,[1]Tipologie!$B$20))</f>
        <v>6</v>
      </c>
      <c r="O29" s="60"/>
      <c r="P29" s="61">
        <f>IF(ISBLANK([1]Tipologie!$B$21),"",COUNTIF(D14:AH14,[1]Tipologie!$B$21))</f>
        <v>0</v>
      </c>
      <c r="Q29" s="61"/>
      <c r="R29" s="60">
        <f>IF(ISBLANK([1]Tipologie!$B$22),"",COUNTIF(D14:AH14,[1]Tipologie!$B$22))</f>
        <v>0</v>
      </c>
      <c r="S29" s="60"/>
      <c r="T29" s="62">
        <f>IF(ISBLANK([1]Tipologie!$B$23),"",COUNTIF(D14:AH14,[1]Tipologie!$B$23))</f>
        <v>0</v>
      </c>
      <c r="U29" s="62"/>
      <c r="V29" s="60">
        <f>IF(ISBLANK([1]Tipologie!$B$24),"",COUNTIF(D14:AH14,[1]Tipologie!$B$24))</f>
        <v>0</v>
      </c>
      <c r="W29" s="60"/>
      <c r="X29" s="62">
        <f>IF(ISBLANK([1]Tipologie!$B$25),"",COUNTIF(D14:AH14,[1]Tipologie!$B$25))</f>
        <v>0</v>
      </c>
      <c r="Y29" s="62"/>
      <c r="Z29" s="60">
        <f>IF(ISBLANK([1]Tipologie!$B$26),"",COUNTIF(D14:AH14,[1]Tipologie!$B$26))</f>
        <v>0</v>
      </c>
      <c r="AA29" s="60"/>
      <c r="AB29" s="63">
        <f>IF(ISBLANK([1]Tipologie!$B$27),"",COUNTIF(D14:AH14,[1]Tipologie!$B$27))</f>
        <v>0</v>
      </c>
      <c r="AC29" s="63"/>
      <c r="AD29" s="60">
        <f>IF(ISBLANK([1]Tipologie!$B$28),"",COUNTIF(D14:AH14,[1]Tipologie!$B$28))</f>
        <v>0</v>
      </c>
      <c r="AE29" s="60"/>
      <c r="AF29" s="63">
        <f>IF(ISBLANK([1]Tipologie!$B$29),"",COUNTIF(D14:AH14,[1]Tipologie!$B$29))</f>
        <v>0</v>
      </c>
      <c r="AG29" s="63"/>
      <c r="AH29" s="60">
        <f>IF(ISBLANK([1]Tipologie!$B$30),"",COUNTIF(D14:AH14,[1]Tipologie!$B$30))</f>
        <v>0</v>
      </c>
      <c r="AI29" s="60"/>
    </row>
    <row r="30" spans="1:40" ht="18" customHeight="1">
      <c r="C30" s="64" t="s">
        <v>20</v>
      </c>
      <c r="D30" s="58">
        <f>IF(ISBLANK([1]Tipologie!$B$15),"",COUNTIF(D15:AH15,[1]Tipologie!$B$15))</f>
        <v>11</v>
      </c>
      <c r="E30" s="59"/>
      <c r="F30" s="58">
        <f>IF(ISBLANK([1]Tipologie!$B$16),"",COUNTIF(D15:AH15,[1]Tipologie!$B$16))</f>
        <v>4</v>
      </c>
      <c r="G30" s="58"/>
      <c r="H30" s="58">
        <f>IF(ISBLANK([1]Tipologie!$B$17),"",COUNTIF(D15:AH15,[1]Tipologie!$B$17))</f>
        <v>0</v>
      </c>
      <c r="I30" s="59"/>
      <c r="J30" s="60">
        <f>IF(ISBLANK([1]Tipologie!$B$18),"",COUNTIF(D15:AH15,[1]Tipologie!$B$18))</f>
        <v>0</v>
      </c>
      <c r="K30" s="60"/>
      <c r="L30" s="61">
        <f>IF(ISBLANK([1]Tipologie!$B$19),"",COUNTIF(D15:AH15,[1]Tipologie!$B$19))</f>
        <v>0</v>
      </c>
      <c r="M30" s="61"/>
      <c r="N30" s="60">
        <f>IF(ISBLANK([1]Tipologie!$B$20),"",COUNTIF(D15:AH15,[1]Tipologie!$B$20))</f>
        <v>8</v>
      </c>
      <c r="O30" s="60"/>
      <c r="P30" s="61">
        <f>IF(ISBLANK([1]Tipologie!$B$21),"",COUNTIF(D15:AH15,[1]Tipologie!$B$21))</f>
        <v>0</v>
      </c>
      <c r="Q30" s="61"/>
      <c r="R30" s="60">
        <f>IF(ISBLANK([1]Tipologie!$B$22),"",COUNTIF(D15:AH15,[1]Tipologie!$B$22))</f>
        <v>0</v>
      </c>
      <c r="S30" s="60"/>
      <c r="T30" s="62">
        <f>IF(ISBLANK([1]Tipologie!$B$23),"",COUNTIF(D15:AH15,[1]Tipologie!$B$23))</f>
        <v>0</v>
      </c>
      <c r="U30" s="62"/>
      <c r="V30" s="60">
        <f>IF(ISBLANK([1]Tipologie!$B$24),"",COUNTIF(D15:AH15,[1]Tipologie!$B$24))</f>
        <v>0</v>
      </c>
      <c r="W30" s="60"/>
      <c r="X30" s="62">
        <f>IF(ISBLANK([1]Tipologie!$B$25),"",COUNTIF(D15:AH15,[1]Tipologie!$B$25))</f>
        <v>0</v>
      </c>
      <c r="Y30" s="62"/>
      <c r="Z30" s="60">
        <f>IF(ISBLANK([1]Tipologie!$B$26),"",COUNTIF(D15:AH15,[1]Tipologie!$B$26))</f>
        <v>0</v>
      </c>
      <c r="AA30" s="60"/>
      <c r="AB30" s="63">
        <f>IF(ISBLANK([1]Tipologie!$B$27),"",COUNTIF(D15:AH15,[1]Tipologie!$B$27))</f>
        <v>0</v>
      </c>
      <c r="AC30" s="63"/>
      <c r="AD30" s="60">
        <f>IF(ISBLANK([1]Tipologie!$B$28),"",COUNTIF(D15:AH15,[1]Tipologie!$B$28))</f>
        <v>0</v>
      </c>
      <c r="AE30" s="60"/>
      <c r="AF30" s="63">
        <f>IF(ISBLANK([1]Tipologie!$B$29),"",COUNTIF(D15:AH15,[1]Tipologie!$B$29))</f>
        <v>0</v>
      </c>
      <c r="AG30" s="63"/>
      <c r="AH30" s="60">
        <f>IF(ISBLANK([1]Tipologie!$B$30),"",COUNTIF(D15:AH15,[1]Tipologie!$B$30))</f>
        <v>0</v>
      </c>
      <c r="AI30" s="60"/>
    </row>
    <row r="31" spans="1:40" ht="18" customHeight="1">
      <c r="C31" s="64" t="s">
        <v>21</v>
      </c>
      <c r="D31" s="58">
        <f>IF(ISBLANK([1]Tipologie!$B$15),"",COUNTIF(D16:AH16,[1]Tipologie!$B$15))</f>
        <v>0</v>
      </c>
      <c r="E31" s="59"/>
      <c r="F31" s="58">
        <f>IF(ISBLANK([1]Tipologie!$B$16),"",COUNTIF(D16:AH16,[1]Tipologie!$B$16))</f>
        <v>0</v>
      </c>
      <c r="G31" s="58"/>
      <c r="H31" s="58">
        <f>IF(ISBLANK([1]Tipologie!$B$17),"",COUNTIF(D16:AH16,[1]Tipologie!$B$17))</f>
        <v>0</v>
      </c>
      <c r="I31" s="59"/>
      <c r="J31" s="60">
        <f>IF(ISBLANK([1]Tipologie!$B$18),"",COUNTIF(D16:AH16,[1]Tipologie!$B$18))</f>
        <v>0</v>
      </c>
      <c r="K31" s="60"/>
      <c r="L31" s="61">
        <f>IF(ISBLANK([1]Tipologie!$B$19),"",COUNTIF(D16:AH16,[1]Tipologie!$B$19))</f>
        <v>0</v>
      </c>
      <c r="M31" s="61"/>
      <c r="N31" s="60">
        <f>IF(ISBLANK([1]Tipologie!$B$20),"",COUNTIF(D16:AH16,[1]Tipologie!$B$20))</f>
        <v>9</v>
      </c>
      <c r="O31" s="60"/>
      <c r="P31" s="61">
        <f>IF(ISBLANK([1]Tipologie!$B$21),"",COUNTIF(D16:AH16,[1]Tipologie!$B$21))</f>
        <v>0</v>
      </c>
      <c r="Q31" s="61"/>
      <c r="R31" s="60">
        <f>IF(ISBLANK([1]Tipologie!$B$22),"",COUNTIF(D16:AH16,[1]Tipologie!$B$22))</f>
        <v>0</v>
      </c>
      <c r="S31" s="60"/>
      <c r="T31" s="62">
        <f>IF(ISBLANK([1]Tipologie!$B$23),"",COUNTIF(D16:AH16,[1]Tipologie!$B$23))</f>
        <v>0</v>
      </c>
      <c r="U31" s="62"/>
      <c r="V31" s="60">
        <f>IF(ISBLANK([1]Tipologie!$B$24),"",COUNTIF(D16:AH16,[1]Tipologie!$B$24))</f>
        <v>0</v>
      </c>
      <c r="W31" s="60"/>
      <c r="X31" s="62">
        <f>IF(ISBLANK([1]Tipologie!$B$25),"",COUNTIF(D16:AH16,[1]Tipologie!$B$25))</f>
        <v>0</v>
      </c>
      <c r="Y31" s="62"/>
      <c r="Z31" s="60">
        <f>IF(ISBLANK([1]Tipologie!$B$26),"",COUNTIF(D16:AH16,[1]Tipologie!$B$26))</f>
        <v>0</v>
      </c>
      <c r="AA31" s="60"/>
      <c r="AB31" s="63">
        <f>IF(ISBLANK([1]Tipologie!$B$27),"",COUNTIF(D16:AH16,[1]Tipologie!$B$27))</f>
        <v>0</v>
      </c>
      <c r="AC31" s="63"/>
      <c r="AD31" s="60">
        <f>IF(ISBLANK([1]Tipologie!$B$28),"",COUNTIF(D16:AH16,[1]Tipologie!$B$28))</f>
        <v>0</v>
      </c>
      <c r="AE31" s="60"/>
      <c r="AF31" s="63">
        <f>IF(ISBLANK([1]Tipologie!$B$29),"",COUNTIF(D16:AH16,[1]Tipologie!$B$29))</f>
        <v>0</v>
      </c>
      <c r="AG31" s="63"/>
      <c r="AH31" s="60">
        <f>IF(ISBLANK([1]Tipologie!$B$30),"",COUNTIF(D16:AH16,[1]Tipologie!$B$30))</f>
        <v>0</v>
      </c>
      <c r="AI31" s="60"/>
    </row>
    <row r="32" spans="1:40" ht="18" customHeight="1">
      <c r="C32" s="64" t="s">
        <v>22</v>
      </c>
      <c r="D32" s="58">
        <f>IF(ISBLANK([1]Tipologie!$B$15),"",COUNTIF(D17:AH17,[1]Tipologie!$B$15))</f>
        <v>0</v>
      </c>
      <c r="E32" s="59"/>
      <c r="F32" s="58">
        <f>IF(ISBLANK([1]Tipologie!$B$16),"",COUNTIF(D17:AH17,[1]Tipologie!$B$16))</f>
        <v>0</v>
      </c>
      <c r="G32" s="58"/>
      <c r="H32" s="58">
        <f>IF(ISBLANK([1]Tipologie!$B$17),"",COUNTIF(D17:AH17,[1]Tipologie!$B$17))</f>
        <v>0</v>
      </c>
      <c r="I32" s="59"/>
      <c r="J32" s="60">
        <f>IF(ISBLANK([1]Tipologie!$B$18),"",COUNTIF(D17:AH17,[1]Tipologie!$B$18))</f>
        <v>0</v>
      </c>
      <c r="K32" s="60"/>
      <c r="L32" s="61">
        <f>IF(ISBLANK([1]Tipologie!$B$19),"",COUNTIF(D17:AH17,[1]Tipologie!$B$19))</f>
        <v>0</v>
      </c>
      <c r="M32" s="61"/>
      <c r="N32" s="60">
        <f>IF(ISBLANK([1]Tipologie!$B$20),"",COUNTIF(D17:AH17,[1]Tipologie!$B$20))</f>
        <v>9</v>
      </c>
      <c r="O32" s="60"/>
      <c r="P32" s="61">
        <f>IF(ISBLANK([1]Tipologie!$B$21),"",COUNTIF(D17:AH17,[1]Tipologie!$B$21))</f>
        <v>0</v>
      </c>
      <c r="Q32" s="61"/>
      <c r="R32" s="60">
        <f>IF(ISBLANK([1]Tipologie!$B$22),"",COUNTIF(D17:AH17,[1]Tipologie!$B$22))</f>
        <v>0</v>
      </c>
      <c r="S32" s="60"/>
      <c r="T32" s="62">
        <f>IF(ISBLANK([1]Tipologie!$B$23),"",COUNTIF(D17:AH17,[1]Tipologie!$B$23))</f>
        <v>0</v>
      </c>
      <c r="U32" s="62"/>
      <c r="V32" s="60">
        <f>IF(ISBLANK([1]Tipologie!$B$24),"",COUNTIF(D17:AH17,[1]Tipologie!$B$24))</f>
        <v>0</v>
      </c>
      <c r="W32" s="60"/>
      <c r="X32" s="62">
        <f>IF(ISBLANK([1]Tipologie!$B$25),"",COUNTIF(D17:AH17,[1]Tipologie!$B$25))</f>
        <v>0</v>
      </c>
      <c r="Y32" s="62"/>
      <c r="Z32" s="60">
        <f>IF(ISBLANK([1]Tipologie!$B$26),"",COUNTIF(D17:AH17,[1]Tipologie!$B$26))</f>
        <v>0</v>
      </c>
      <c r="AA32" s="60"/>
      <c r="AB32" s="63">
        <f>IF(ISBLANK([1]Tipologie!$B$27),"",COUNTIF(D17:AH17,[1]Tipologie!$B$27))</f>
        <v>0</v>
      </c>
      <c r="AC32" s="63"/>
      <c r="AD32" s="60">
        <f>IF(ISBLANK([1]Tipologie!$B$28),"",COUNTIF(D17:AH17,[1]Tipologie!$B$28))</f>
        <v>0</v>
      </c>
      <c r="AE32" s="60"/>
      <c r="AF32" s="63">
        <f>IF(ISBLANK([1]Tipologie!$B$29),"",COUNTIF(D17:AH17,[1]Tipologie!$B$29))</f>
        <v>0</v>
      </c>
      <c r="AG32" s="63"/>
      <c r="AH32" s="60">
        <f>IF(ISBLANK([1]Tipologie!$B$30),"",COUNTIF(D17:AH17,[1]Tipologie!$B$30))</f>
        <v>0</v>
      </c>
      <c r="AI32" s="60"/>
    </row>
    <row r="33" spans="1:41" ht="18" customHeight="1">
      <c r="C33" s="64" t="s">
        <v>23</v>
      </c>
      <c r="D33" s="58">
        <f>IF(ISBLANK([1]Tipologie!$B$15),"",COUNTIF(D18:AH18,[1]Tipologie!$B$15))</f>
        <v>0</v>
      </c>
      <c r="E33" s="59"/>
      <c r="F33" s="58">
        <f>IF(ISBLANK([1]Tipologie!$B$16),"",COUNTIF(D18:AH18,[1]Tipologie!$B$16))</f>
        <v>0</v>
      </c>
      <c r="G33" s="58"/>
      <c r="H33" s="58">
        <f>IF(ISBLANK([1]Tipologie!$B$17),"",COUNTIF(D18:AH18,[1]Tipologie!$B$17))</f>
        <v>0</v>
      </c>
      <c r="I33" s="59"/>
      <c r="J33" s="60">
        <f>IF(ISBLANK([1]Tipologie!$B$18),"",COUNTIF(D18:AH18,[1]Tipologie!$B$18))</f>
        <v>0</v>
      </c>
      <c r="K33" s="60"/>
      <c r="L33" s="61">
        <f>IF(ISBLANK([1]Tipologie!$B$19),"",COUNTIF(D18:AH18,[1]Tipologie!$B$19))</f>
        <v>0</v>
      </c>
      <c r="M33" s="61"/>
      <c r="N33" s="60">
        <f>IF(ISBLANK([1]Tipologie!$B$20),"",COUNTIF(D18:AH18,[1]Tipologie!$B$20))</f>
        <v>8</v>
      </c>
      <c r="O33" s="60"/>
      <c r="P33" s="61">
        <f>IF(ISBLANK([1]Tipologie!$B$21),"",COUNTIF(D18:AH18,[1]Tipologie!$B$21))</f>
        <v>0</v>
      </c>
      <c r="Q33" s="61"/>
      <c r="R33" s="60">
        <f>IF(ISBLANK([1]Tipologie!$B$22),"",COUNTIF(D18:AH18,[1]Tipologie!$B$22))</f>
        <v>0</v>
      </c>
      <c r="S33" s="60"/>
      <c r="T33" s="62">
        <f>IF(ISBLANK([1]Tipologie!$B$23),"",COUNTIF(D18:AH18,[1]Tipologie!$B$23))</f>
        <v>0</v>
      </c>
      <c r="U33" s="62"/>
      <c r="V33" s="60">
        <f>IF(ISBLANK([1]Tipologie!$B$24),"",COUNTIF(D18:AH18,[1]Tipologie!$B$24))</f>
        <v>0</v>
      </c>
      <c r="W33" s="60"/>
      <c r="X33" s="62">
        <f>IF(ISBLANK([1]Tipologie!$B$25),"",COUNTIF(D18:AH18,[1]Tipologie!$B$25))</f>
        <v>0</v>
      </c>
      <c r="Y33" s="62"/>
      <c r="Z33" s="60">
        <f>IF(ISBLANK([1]Tipologie!$B$26),"",COUNTIF(D18:AH18,[1]Tipologie!$B$26))</f>
        <v>0</v>
      </c>
      <c r="AA33" s="60"/>
      <c r="AB33" s="63">
        <f>IF(ISBLANK([1]Tipologie!$B$27),"",COUNTIF(D18:AH18,[1]Tipologie!$B$27))</f>
        <v>0</v>
      </c>
      <c r="AC33" s="63"/>
      <c r="AD33" s="60">
        <f>IF(ISBLANK([1]Tipologie!$B$28),"",COUNTIF(D18:AH18,[1]Tipologie!$B$28))</f>
        <v>0</v>
      </c>
      <c r="AE33" s="60"/>
      <c r="AF33" s="63">
        <f>IF(ISBLANK([1]Tipologie!$B$29),"",COUNTIF(D18:AH18,[1]Tipologie!$B$29))</f>
        <v>0</v>
      </c>
      <c r="AG33" s="63"/>
      <c r="AH33" s="60">
        <f>IF(ISBLANK([1]Tipologie!$B$30),"",COUNTIF(D18:AH18,[1]Tipologie!$B$30))</f>
        <v>0</v>
      </c>
      <c r="AI33" s="60"/>
    </row>
    <row r="34" spans="1:41" ht="18" customHeight="1">
      <c r="C34" s="64" t="s">
        <v>24</v>
      </c>
      <c r="D34" s="58">
        <f>IF(ISBLANK([1]Tipologie!$B$15),"",COUNTIF(D19:AH19,[1]Tipologie!$B$15))</f>
        <v>0</v>
      </c>
      <c r="E34" s="59"/>
      <c r="F34" s="58">
        <f>IF(ISBLANK([1]Tipologie!$B$16),"",COUNTIF(D19:AH19,[1]Tipologie!$B$16))</f>
        <v>0</v>
      </c>
      <c r="G34" s="58"/>
      <c r="H34" s="58">
        <f>IF(ISBLANK([1]Tipologie!$B$17),"",COUNTIF(D19:AH19,[1]Tipologie!$B$17))</f>
        <v>0</v>
      </c>
      <c r="I34" s="59"/>
      <c r="J34" s="60">
        <f>IF(ISBLANK([1]Tipologie!$B$18),"",COUNTIF(D19:AH19,[1]Tipologie!$B$18))</f>
        <v>0</v>
      </c>
      <c r="K34" s="60"/>
      <c r="L34" s="61">
        <f>IF(ISBLANK([1]Tipologie!$B$19),"",COUNTIF(D19:AH19,[1]Tipologie!$B$19))</f>
        <v>0</v>
      </c>
      <c r="M34" s="61"/>
      <c r="N34" s="60">
        <f>IF(ISBLANK([1]Tipologie!$B$20),"",COUNTIF(D19:AH19,[1]Tipologie!$B$20))</f>
        <v>9</v>
      </c>
      <c r="O34" s="60"/>
      <c r="P34" s="61">
        <f>IF(ISBLANK([1]Tipologie!$B$21),"",COUNTIF(D19:AH19,[1]Tipologie!$B$21))</f>
        <v>0</v>
      </c>
      <c r="Q34" s="61"/>
      <c r="R34" s="60">
        <f>IF(ISBLANK([1]Tipologie!$B$22),"",COUNTIF(D19:AH19,[1]Tipologie!$B$22))</f>
        <v>0</v>
      </c>
      <c r="S34" s="60"/>
      <c r="T34" s="62">
        <f>IF(ISBLANK([1]Tipologie!$B$23),"",COUNTIF(D19:AH19,[1]Tipologie!$B$23))</f>
        <v>0</v>
      </c>
      <c r="U34" s="62"/>
      <c r="V34" s="60">
        <f>IF(ISBLANK([1]Tipologie!$B$24),"",COUNTIF(D19:AH19,[1]Tipologie!$B$24))</f>
        <v>0</v>
      </c>
      <c r="W34" s="60"/>
      <c r="X34" s="62">
        <f>IF(ISBLANK([1]Tipologie!$B$25),"",COUNTIF(D19:AH19,[1]Tipologie!$B$25))</f>
        <v>0</v>
      </c>
      <c r="Y34" s="62"/>
      <c r="Z34" s="60">
        <f>IF(ISBLANK([1]Tipologie!$B$26),"",COUNTIF(D19:AH19,[1]Tipologie!$B$26))</f>
        <v>0</v>
      </c>
      <c r="AA34" s="60"/>
      <c r="AB34" s="63">
        <f>IF(ISBLANK([1]Tipologie!$B$27),"",COUNTIF(D19:AH19,[1]Tipologie!$B$27))</f>
        <v>0</v>
      </c>
      <c r="AC34" s="63"/>
      <c r="AD34" s="60">
        <f>IF(ISBLANK([1]Tipologie!$B$28),"",COUNTIF(D19:AH19,[1]Tipologie!$B$28))</f>
        <v>0</v>
      </c>
      <c r="AE34" s="60"/>
      <c r="AF34" s="63">
        <f>IF(ISBLANK([1]Tipologie!$B$29),"",COUNTIF(D19:AH19,[1]Tipologie!$B$29))</f>
        <v>0</v>
      </c>
      <c r="AG34" s="63"/>
      <c r="AH34" s="60">
        <f>IF(ISBLANK([1]Tipologie!$B$30),"",COUNTIF(D19:AH19,[1]Tipologie!$B$30))</f>
        <v>0</v>
      </c>
      <c r="AI34" s="60"/>
    </row>
    <row r="35" spans="1:41" ht="18" customHeight="1" thickBot="1">
      <c r="C35" s="64" t="s">
        <v>25</v>
      </c>
      <c r="D35" s="58">
        <f>IF(ISBLANK([1]Tipologie!$B$15),"",COUNTIF(D20:AH20,[1]Tipologie!$B$15))</f>
        <v>0</v>
      </c>
      <c r="E35" s="59"/>
      <c r="F35" s="58">
        <f>IF(ISBLANK([1]Tipologie!$B$16),"",COUNTIF(D20:AH20,[1]Tipologie!$B$16))</f>
        <v>0</v>
      </c>
      <c r="G35" s="58"/>
      <c r="H35" s="58">
        <f>IF(ISBLANK([1]Tipologie!$B$17),"",COUNTIF(D20:AH20,[1]Tipologie!$B$17))</f>
        <v>0</v>
      </c>
      <c r="I35" s="59"/>
      <c r="J35" s="60">
        <f>IF(ISBLANK([1]Tipologie!$B$18),"",COUNTIF(D20:AH20,[1]Tipologie!$B$18))</f>
        <v>0</v>
      </c>
      <c r="K35" s="60"/>
      <c r="L35" s="61">
        <f>IF(ISBLANK([1]Tipologie!$B$19),"",COUNTIF(D20:AH20,[1]Tipologie!$B$19))</f>
        <v>0</v>
      </c>
      <c r="M35" s="61"/>
      <c r="N35" s="60">
        <f>IF(ISBLANK([1]Tipologie!$B$20),"",COUNTIF(D20:AH20,[1]Tipologie!$B$20))</f>
        <v>9</v>
      </c>
      <c r="O35" s="60"/>
      <c r="P35" s="61">
        <f>IF(ISBLANK([1]Tipologie!$B$21),"",COUNTIF(D20:AH20,[1]Tipologie!$B$21))</f>
        <v>0</v>
      </c>
      <c r="Q35" s="61"/>
      <c r="R35" s="60">
        <f>IF(ISBLANK([1]Tipologie!$B$22),"",COUNTIF(D20:AH20,[1]Tipologie!$B$22))</f>
        <v>0</v>
      </c>
      <c r="S35" s="60"/>
      <c r="T35" s="62">
        <f>IF(ISBLANK([1]Tipologie!$B$23),"",COUNTIF(D20:AH20,[1]Tipologie!$B$23))</f>
        <v>0</v>
      </c>
      <c r="U35" s="62"/>
      <c r="V35" s="60">
        <f>IF(ISBLANK([1]Tipologie!$B$24),"",COUNTIF(D20:AH20,[1]Tipologie!$B$24))</f>
        <v>0</v>
      </c>
      <c r="W35" s="60"/>
      <c r="X35" s="62">
        <f>IF(ISBLANK([1]Tipologie!$B$25),"",COUNTIF(D20:AH20,[1]Tipologie!$B$25))</f>
        <v>0</v>
      </c>
      <c r="Y35" s="62"/>
      <c r="Z35" s="60">
        <f>IF(ISBLANK([1]Tipologie!$B$26),"",COUNTIF(D20:AH20,[1]Tipologie!$B$26))</f>
        <v>0</v>
      </c>
      <c r="AA35" s="60"/>
      <c r="AB35" s="63">
        <f>IF(ISBLANK([1]Tipologie!$B$27),"",COUNTIF(D20:AH20,[1]Tipologie!$B$27))</f>
        <v>0</v>
      </c>
      <c r="AC35" s="63"/>
      <c r="AD35" s="60">
        <f>IF(ISBLANK([1]Tipologie!$B$28),"",COUNTIF(D20:AH20,[1]Tipologie!$B$28))</f>
        <v>0</v>
      </c>
      <c r="AE35" s="60"/>
      <c r="AF35" s="63">
        <f>IF(ISBLANK([1]Tipologie!$B$29),"",COUNTIF(D20:AH20,[1]Tipologie!$B$29))</f>
        <v>0</v>
      </c>
      <c r="AG35" s="63"/>
      <c r="AH35" s="60">
        <f>IF(ISBLANK([1]Tipologie!$B$30),"",COUNTIF(D20:AH20,[1]Tipologie!$B$30))</f>
        <v>0</v>
      </c>
      <c r="AI35" s="60"/>
    </row>
    <row r="36" spans="1:41" ht="18" customHeight="1">
      <c r="C36" s="50"/>
      <c r="D36" s="65">
        <f>IF(ISBLANK([1]Tipologie!$B$15),"",SUM(D24:D35))</f>
        <v>77</v>
      </c>
      <c r="E36" s="66"/>
      <c r="F36" s="65">
        <f>IF(ISBLANK([1]Tipologie!$B$16),"",SUM(F24:F35))</f>
        <v>17</v>
      </c>
      <c r="G36" s="65"/>
      <c r="H36" s="65">
        <f>IF(ISBLANK([1]Tipologie!$B$17),"",SUM(H24:H35))</f>
        <v>0</v>
      </c>
      <c r="I36" s="65"/>
      <c r="J36" s="67">
        <f>IF(ISBLANK([1]Tipologie!$B$18),"",SUM(J24:J35))</f>
        <v>0</v>
      </c>
      <c r="K36" s="67"/>
      <c r="L36" s="68">
        <f>IF(ISBLANK([1]Tipologie!$B$19),"",SUM(L24:L35))</f>
        <v>0</v>
      </c>
      <c r="M36" s="68"/>
      <c r="N36" s="67">
        <f>IF(ISBLANK([1]Tipologie!$B$20),"",SUM(N24:N35))</f>
        <v>99</v>
      </c>
      <c r="O36" s="67"/>
      <c r="P36" s="68">
        <f>IF(ISBLANK([1]Tipologie!$B$21),"",SUM(P24:P35))</f>
        <v>0</v>
      </c>
      <c r="Q36" s="68"/>
      <c r="R36" s="67">
        <f>IF(ISBLANK([1]Tipologie!$B$22),"",SUM(R24:R35))</f>
        <v>0</v>
      </c>
      <c r="S36" s="67"/>
      <c r="T36" s="69">
        <f>IF(ISBLANK([1]Tipologie!$B$23),"",SUM(T24:T35))</f>
        <v>0</v>
      </c>
      <c r="U36" s="69"/>
      <c r="V36" s="70">
        <f>IF(ISBLANK([1]Tipologie!$B$24),"",SUM(V24:V35))</f>
        <v>1</v>
      </c>
      <c r="W36" s="71"/>
      <c r="X36" s="72">
        <f>IF(ISBLANK([1]Tipologie!$B$25),"",SUM(X24:X35))</f>
        <v>0</v>
      </c>
      <c r="Y36" s="73"/>
      <c r="Z36" s="70">
        <f>IF(ISBLANK([1]Tipologie!$B$26),"",SUM(Z24:Z35))</f>
        <v>0</v>
      </c>
      <c r="AA36" s="71"/>
      <c r="AB36" s="74">
        <f>IF(ISBLANK([1]Tipologie!$B$27),"",SUM(AB24:AB35))</f>
        <v>0</v>
      </c>
      <c r="AC36" s="75"/>
      <c r="AD36" s="70">
        <f>IF(ISBLANK([1]Tipologie!$B$28),"",SUM(AD24:AD35))</f>
        <v>0</v>
      </c>
      <c r="AE36" s="71"/>
      <c r="AF36" s="76">
        <f>IF(ISBLANK([1]Tipologie!$B$29),"",SUM(AF24:AF35))</f>
        <v>0</v>
      </c>
      <c r="AG36" s="76"/>
      <c r="AH36" s="77">
        <f>IF(ISBLANK([1]Tipologie!$B$30),"",SUM(AH24:AH35))</f>
        <v>0</v>
      </c>
      <c r="AI36" s="77"/>
    </row>
    <row r="38" spans="1:41">
      <c r="A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9" t="s">
        <v>26</v>
      </c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1"/>
      <c r="AO38" s="82"/>
    </row>
    <row r="40" spans="1:41">
      <c r="M40" s="39"/>
      <c r="O40" s="39"/>
    </row>
  </sheetData>
  <sheetProtection password="9851" sheet="1"/>
  <mergeCells count="255">
    <mergeCell ref="AB36:AC36"/>
    <mergeCell ref="AD36:AE36"/>
    <mergeCell ref="AF36:AG36"/>
    <mergeCell ref="AH36:AI36"/>
    <mergeCell ref="V38:AK38"/>
    <mergeCell ref="P36:Q36"/>
    <mergeCell ref="R36:S36"/>
    <mergeCell ref="T36:U36"/>
    <mergeCell ref="V36:W36"/>
    <mergeCell ref="X36:Y36"/>
    <mergeCell ref="Z36:AA36"/>
    <mergeCell ref="AB35:AC35"/>
    <mergeCell ref="AD35:AE35"/>
    <mergeCell ref="AF35:AG35"/>
    <mergeCell ref="AH35:AI35"/>
    <mergeCell ref="D36:E36"/>
    <mergeCell ref="F36:G36"/>
    <mergeCell ref="H36:I36"/>
    <mergeCell ref="J36:K36"/>
    <mergeCell ref="L36:M36"/>
    <mergeCell ref="N36:O36"/>
    <mergeCell ref="P35:Q35"/>
    <mergeCell ref="R35:S35"/>
    <mergeCell ref="T35:U35"/>
    <mergeCell ref="V35:W35"/>
    <mergeCell ref="X35:Y35"/>
    <mergeCell ref="Z35:AA35"/>
    <mergeCell ref="AB34:AC34"/>
    <mergeCell ref="AD34:AE34"/>
    <mergeCell ref="AF34:AG34"/>
    <mergeCell ref="AH34:AI34"/>
    <mergeCell ref="D35:E35"/>
    <mergeCell ref="F35:G35"/>
    <mergeCell ref="H35:I35"/>
    <mergeCell ref="J35:K35"/>
    <mergeCell ref="L35:M35"/>
    <mergeCell ref="N35:O35"/>
    <mergeCell ref="P34:Q34"/>
    <mergeCell ref="R34:S34"/>
    <mergeCell ref="T34:U34"/>
    <mergeCell ref="V34:W34"/>
    <mergeCell ref="X34:Y34"/>
    <mergeCell ref="Z34:AA34"/>
    <mergeCell ref="AB33:AC33"/>
    <mergeCell ref="AD33:AE33"/>
    <mergeCell ref="AF33:AG33"/>
    <mergeCell ref="AH33:AI33"/>
    <mergeCell ref="D34:E34"/>
    <mergeCell ref="F34:G34"/>
    <mergeCell ref="H34:I34"/>
    <mergeCell ref="J34:K34"/>
    <mergeCell ref="L34:M34"/>
    <mergeCell ref="N34:O34"/>
    <mergeCell ref="P33:Q33"/>
    <mergeCell ref="R33:S33"/>
    <mergeCell ref="T33:U33"/>
    <mergeCell ref="V33:W33"/>
    <mergeCell ref="X33:Y33"/>
    <mergeCell ref="Z33:AA33"/>
    <mergeCell ref="AB32:AC32"/>
    <mergeCell ref="AD32:AE32"/>
    <mergeCell ref="AF32:AG32"/>
    <mergeCell ref="AH32:AI32"/>
    <mergeCell ref="D33:E33"/>
    <mergeCell ref="F33:G33"/>
    <mergeCell ref="H33:I33"/>
    <mergeCell ref="J33:K33"/>
    <mergeCell ref="L33:M33"/>
    <mergeCell ref="N33:O33"/>
    <mergeCell ref="P32:Q32"/>
    <mergeCell ref="R32:S32"/>
    <mergeCell ref="T32:U32"/>
    <mergeCell ref="V32:W32"/>
    <mergeCell ref="X32:Y32"/>
    <mergeCell ref="Z32:AA32"/>
    <mergeCell ref="AB31:AC31"/>
    <mergeCell ref="AD31:AE31"/>
    <mergeCell ref="AF31:AG31"/>
    <mergeCell ref="AH31:AI31"/>
    <mergeCell ref="D32:E32"/>
    <mergeCell ref="F32:G32"/>
    <mergeCell ref="H32:I32"/>
    <mergeCell ref="J32:K32"/>
    <mergeCell ref="L32:M32"/>
    <mergeCell ref="N32:O32"/>
    <mergeCell ref="P31:Q31"/>
    <mergeCell ref="R31:S31"/>
    <mergeCell ref="T31:U31"/>
    <mergeCell ref="V31:W31"/>
    <mergeCell ref="X31:Y31"/>
    <mergeCell ref="Z31:AA31"/>
    <mergeCell ref="AB30:AC30"/>
    <mergeCell ref="AD30:AE30"/>
    <mergeCell ref="AF30:AG30"/>
    <mergeCell ref="AH30:AI30"/>
    <mergeCell ref="D31:E31"/>
    <mergeCell ref="F31:G31"/>
    <mergeCell ref="H31:I31"/>
    <mergeCell ref="J31:K31"/>
    <mergeCell ref="L31:M31"/>
    <mergeCell ref="N31:O31"/>
    <mergeCell ref="P30:Q30"/>
    <mergeCell ref="R30:S30"/>
    <mergeCell ref="T30:U30"/>
    <mergeCell ref="V30:W30"/>
    <mergeCell ref="X30:Y30"/>
    <mergeCell ref="Z30:AA30"/>
    <mergeCell ref="AB29:AC29"/>
    <mergeCell ref="AD29:AE29"/>
    <mergeCell ref="AF29:AG29"/>
    <mergeCell ref="AH29:AI29"/>
    <mergeCell ref="D30:E30"/>
    <mergeCell ref="F30:G30"/>
    <mergeCell ref="H30:I30"/>
    <mergeCell ref="J30:K30"/>
    <mergeCell ref="L30:M30"/>
    <mergeCell ref="N30:O30"/>
    <mergeCell ref="P29:Q29"/>
    <mergeCell ref="R29:S29"/>
    <mergeCell ref="T29:U29"/>
    <mergeCell ref="V29:W29"/>
    <mergeCell ref="X29:Y29"/>
    <mergeCell ref="Z29:AA29"/>
    <mergeCell ref="AB28:AC28"/>
    <mergeCell ref="AD28:AE28"/>
    <mergeCell ref="AF28:AG28"/>
    <mergeCell ref="AH28:AI28"/>
    <mergeCell ref="D29:E29"/>
    <mergeCell ref="F29:G29"/>
    <mergeCell ref="H29:I29"/>
    <mergeCell ref="J29:K29"/>
    <mergeCell ref="L29:M29"/>
    <mergeCell ref="N29:O29"/>
    <mergeCell ref="P28:Q28"/>
    <mergeCell ref="R28:S28"/>
    <mergeCell ref="T28:U28"/>
    <mergeCell ref="V28:W28"/>
    <mergeCell ref="X28:Y28"/>
    <mergeCell ref="Z28:AA28"/>
    <mergeCell ref="AB27:AC27"/>
    <mergeCell ref="AD27:AE27"/>
    <mergeCell ref="AF27:AG27"/>
    <mergeCell ref="AH27:AI27"/>
    <mergeCell ref="D28:E28"/>
    <mergeCell ref="F28:G28"/>
    <mergeCell ref="H28:I28"/>
    <mergeCell ref="J28:K28"/>
    <mergeCell ref="L28:M28"/>
    <mergeCell ref="N28:O28"/>
    <mergeCell ref="P27:Q27"/>
    <mergeCell ref="R27:S27"/>
    <mergeCell ref="T27:U27"/>
    <mergeCell ref="V27:W27"/>
    <mergeCell ref="X27:Y27"/>
    <mergeCell ref="Z27:AA27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3:AC23"/>
    <mergeCell ref="AD23:AE23"/>
    <mergeCell ref="AF23:AG23"/>
    <mergeCell ref="AH23:AI23"/>
    <mergeCell ref="D24:E24"/>
    <mergeCell ref="F24:G24"/>
    <mergeCell ref="H24:I24"/>
    <mergeCell ref="J24:K24"/>
    <mergeCell ref="L24:M24"/>
    <mergeCell ref="N24:O24"/>
    <mergeCell ref="P23:Q23"/>
    <mergeCell ref="R23:S23"/>
    <mergeCell ref="T23:U23"/>
    <mergeCell ref="V23:W23"/>
    <mergeCell ref="X23:Y23"/>
    <mergeCell ref="Z23:AA23"/>
    <mergeCell ref="AB22:AC22"/>
    <mergeCell ref="AD22:AE22"/>
    <mergeCell ref="AF22:AG22"/>
    <mergeCell ref="AH22:AI22"/>
    <mergeCell ref="D23:E23"/>
    <mergeCell ref="F23:G23"/>
    <mergeCell ref="H23:I23"/>
    <mergeCell ref="J23:K23"/>
    <mergeCell ref="L23:M23"/>
    <mergeCell ref="N23:O23"/>
    <mergeCell ref="P22:Q22"/>
    <mergeCell ref="R22:S22"/>
    <mergeCell ref="T22:U22"/>
    <mergeCell ref="V22:W22"/>
    <mergeCell ref="X22:Y22"/>
    <mergeCell ref="Z22:AA22"/>
    <mergeCell ref="D22:E22"/>
    <mergeCell ref="F22:G22"/>
    <mergeCell ref="H22:I22"/>
    <mergeCell ref="J22:K22"/>
    <mergeCell ref="L22:M22"/>
    <mergeCell ref="N22:O22"/>
    <mergeCell ref="P5:S5"/>
    <mergeCell ref="T5:W5"/>
    <mergeCell ref="X5:AA5"/>
    <mergeCell ref="AB5:AE5"/>
    <mergeCell ref="P6:S6"/>
    <mergeCell ref="T6:W6"/>
    <mergeCell ref="X6:AA6"/>
    <mergeCell ref="AB6:AE6"/>
    <mergeCell ref="E1:J1"/>
    <mergeCell ref="L1:AH1"/>
    <mergeCell ref="E2:J2"/>
    <mergeCell ref="L2:AI2"/>
    <mergeCell ref="P4:W4"/>
    <mergeCell ref="X4:AE4"/>
  </mergeCells>
  <conditionalFormatting sqref="D24:D35 F24:F35 H24:H35 J24:J35 L24:L35 N24:N35 P24:P35 R24:R35 T24:T35 V24:V35 X24:X35 Z24:Z35 AB24:AB35 AD24:AD35 AF24:AF35 AH24:AH35">
    <cfRule type="expression" dxfId="9" priority="9" stopIfTrue="1">
      <formula>OR(WEEKDAY(D$23&amp;"/"&amp;$C9&amp;"/"&amp;Anno)=1,CONCATENATE(D$23,"/",$C9)="1/Gennaio",CONCATENATE(D$23,"/",$C9)="6/Gennaio")</formula>
    </cfRule>
    <cfRule type="expression" dxfId="8" priority="10" stopIfTrue="1">
      <formula>WEEKDAY(D$23&amp;"/"&amp;$C9&amp;"/"&amp;Anno)=7</formula>
    </cfRule>
  </conditionalFormatting>
  <conditionalFormatting sqref="D9:I9 K9:AH9 D10:AE10 D11:AH11 D12:AG12 D13:AH13 D14:AG14 D15:AH16 D17:AG17 D18:AH18 D19:AG19 D20:AH21">
    <cfRule type="expression" dxfId="7" priority="3" stopIfTrue="1">
      <formula>MATCH(DATE(Anno,$B9,D$8),Festivita,0)&gt;0</formula>
    </cfRule>
    <cfRule type="expression" dxfId="6" priority="4" stopIfTrue="1">
      <formula>WEEKDAY(D$8&amp;"/"&amp;$C9&amp;"/"&amp;Anno)=7</formula>
    </cfRule>
    <cfRule type="expression" dxfId="5" priority="5" stopIfTrue="1">
      <formula>WEEKDAY(D$8&amp;"/"&amp;$B9&amp;"/"&amp;Anno,1)=1</formula>
    </cfRule>
  </conditionalFormatting>
  <conditionalFormatting sqref="AF10">
    <cfRule type="expression" dxfId="4" priority="6" stopIfTrue="1">
      <formula>MOD(Anno,4)&lt;&gt;0</formula>
    </cfRule>
    <cfRule type="expression" dxfId="3" priority="7" stopIfTrue="1">
      <formula>OR(MATCH(DATE(Anno,$B10,AF$8),Festivita,0)&gt;0,WEEKDAY(DATE(Anno,$B10,AF$8))=1)</formula>
    </cfRule>
    <cfRule type="expression" dxfId="2" priority="8" stopIfTrue="1">
      <formula>WEEKDAY(AF$8&amp;"/"&amp;$C10&amp;"/"&amp;Anno)=7</formula>
    </cfRule>
  </conditionalFormatting>
  <conditionalFormatting sqref="AH12">
    <cfRule type="expression" dxfId="1" priority="1" stopIfTrue="1">
      <formula>WEEKDAY(AH$8&amp;"/"&amp;$C12&amp;"/"&amp;Anno)=7</formula>
    </cfRule>
    <cfRule type="expression" dxfId="0" priority="2" stopIfTrue="1">
      <formula>OR(WEEKDAY(AH$8&amp;"/"&amp;$C12&amp;"/"&amp;Anno)=1,CONCATENATE(AH$8,"/",$C12)="25/Aprile")</formula>
    </cfRule>
  </conditionalFormatting>
  <dataValidations count="2">
    <dataValidation type="list" allowBlank="1" showDropDown="1" showInputMessage="1" showErrorMessage="1" errorTitle="Errore inserimento sigla" error="Hai inserito una sigla non presente nelle tipologie." sqref="D10:AH20 D9:I9 K9:AH9" xr:uid="{0F06F41A-E365-4A74-A95B-131D93D37104}">
      <formula1>$D$22:$AI$22</formula1>
    </dataValidation>
    <dataValidation allowBlank="1" showDropDown="1" showInputMessage="1" showErrorMessage="1" errorTitle="Errore nell'inserimento dei dati" error="Hai inserito un valore non consentito!_x000a_I valori che puoi immettere nelle celle sono i seguenti:_x000a_Fp = Ferie anno precedente_x000a_Fc = Ferie anno corrente_x000a_R = Recupero_x000a_M = Malattia" sqref="D24:D35 AH24:AH35 AF24:AF35 AD24:AD35 AB24:AB35 Z24:Z35 X24:X35 V24:V35 T24:T35 R24:R35 P24:P35 N24:N35 L24:L35 J24:J35 H24:H35 F24:F35" xr:uid="{13B6FAFB-4655-49CB-B589-1BCA98651022}"/>
  </dataValidations>
  <printOptions horizontalCentered="1"/>
  <pageMargins left="0.78740157480314965" right="0.78740157480314965" top="0.47244094488188981" bottom="0.47244094488188981" header="0.51181102362204722" footer="0.51181102362204722"/>
  <pageSetup paperSize="9" scale="74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F54C5F6B262D49B835E6BE64BCC141" ma:contentTypeVersion="14" ma:contentTypeDescription="Creare un nuovo documento." ma:contentTypeScope="" ma:versionID="70983457e4557fdb57f226cfd8b9692a">
  <xsd:schema xmlns:xsd="http://www.w3.org/2001/XMLSchema" xmlns:xs="http://www.w3.org/2001/XMLSchema" xmlns:p="http://schemas.microsoft.com/office/2006/metadata/properties" xmlns:ns2="43f255d1-3468-46d2-a9ae-42ae13d8b52c" xmlns:ns3="393d315f-01bc-4b4d-9558-a3f70f74aa04" targetNamespace="http://schemas.microsoft.com/office/2006/metadata/properties" ma:root="true" ma:fieldsID="181c8e561d707c2dadf7f93373543587" ns2:_="" ns3:_="">
    <xsd:import namespace="43f255d1-3468-46d2-a9ae-42ae13d8b52c"/>
    <xsd:import namespace="393d315f-01bc-4b4d-9558-a3f70f74aa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255d1-3468-46d2-a9ae-42ae13d8b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 immagine" ma:readOnly="false" ma:fieldId="{5cf76f15-5ced-4ddc-b409-7134ff3c332f}" ma:taxonomyMulti="true" ma:sspId="6af38908-eb50-4341-92b9-c1b29e76f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d315f-01bc-4b4d-9558-a3f70f74aa0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045a844-d878-4cb1-93b6-e73bf38bd001}" ma:internalName="TaxCatchAll" ma:showField="CatchAllData" ma:web="393d315f-01bc-4b4d-9558-a3f70f74aa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f255d1-3468-46d2-a9ae-42ae13d8b52c">
      <Terms xmlns="http://schemas.microsoft.com/office/infopath/2007/PartnerControls"/>
    </lcf76f155ced4ddcb4097134ff3c332f>
    <TaxCatchAll xmlns="393d315f-01bc-4b4d-9558-a3f70f74aa04" xsi:nil="true"/>
  </documentManagement>
</p:properties>
</file>

<file path=customXml/itemProps1.xml><?xml version="1.0" encoding="utf-8"?>
<ds:datastoreItem xmlns:ds="http://schemas.openxmlformats.org/officeDocument/2006/customXml" ds:itemID="{E94F9E7C-82D0-4CCA-B078-E2082E0733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A52DBE-2C85-4C1D-8906-332B5C95C7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255d1-3468-46d2-a9ae-42ae13d8b52c"/>
    <ds:schemaRef ds:uri="393d315f-01bc-4b4d-9558-a3f70f74aa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73C7F7-F25E-4A43-8550-2531FEC27F56}">
  <ds:schemaRefs>
    <ds:schemaRef ds:uri="http://schemas.microsoft.com/office/2006/metadata/properties"/>
    <ds:schemaRef ds:uri="http://schemas.microsoft.com/office/infopath/2007/PartnerControls"/>
    <ds:schemaRef ds:uri="43f255d1-3468-46d2-a9ae-42ae13d8b52c"/>
    <ds:schemaRef ds:uri="393d315f-01bc-4b4d-9558-a3f70f74aa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Foglio-presenze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Essolito</dc:creator>
  <cp:keywords/>
  <dc:description/>
  <cp:lastModifiedBy>ERNESTO DI RUOCCO</cp:lastModifiedBy>
  <cp:revision>1</cp:revision>
  <dcterms:created xsi:type="dcterms:W3CDTF">2022-09-07T10:22:14Z</dcterms:created>
  <dcterms:modified xsi:type="dcterms:W3CDTF">2026-05-26T07:57:49Z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0x010100E6F54C5F6B262D49B835E6BE64BCC141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